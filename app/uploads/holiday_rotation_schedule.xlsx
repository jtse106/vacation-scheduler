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iday_Rotation_Schedule" sheetId="1" r:id="rId4"/>
    <sheet state="visible" name="history" sheetId="2" r:id="rId5"/>
    <sheet state="visible" name="scratch work" sheetId="3" r:id="rId6"/>
    <sheet state="hidden" name="scratch2-holiday_draft" sheetId="4" r:id="rId7"/>
  </sheets>
  <definedNames/>
  <calcPr/>
</workbook>
</file>

<file path=xl/sharedStrings.xml><?xml version="1.0" encoding="utf-8"?>
<sst xmlns="http://schemas.openxmlformats.org/spreadsheetml/2006/main" count="1504" uniqueCount="223">
  <si>
    <t>Current Year</t>
  </si>
  <si>
    <t>Thanksgiving and Memorial Day</t>
  </si>
  <si>
    <t>Nasser</t>
  </si>
  <si>
    <t>Talamo</t>
  </si>
  <si>
    <t>Hanudel</t>
  </si>
  <si>
    <t>Kiet</t>
  </si>
  <si>
    <t>G Preciado (J4)</t>
  </si>
  <si>
    <t>Nguyen</t>
  </si>
  <si>
    <t>Patel</t>
  </si>
  <si>
    <t>Angemi</t>
  </si>
  <si>
    <t>Talamo (July 4)</t>
  </si>
  <si>
    <t>K Preciado (J4)</t>
  </si>
  <si>
    <t>Patel (LD)</t>
  </si>
  <si>
    <t>Sun (mem day)</t>
  </si>
  <si>
    <t>Zhang</t>
  </si>
  <si>
    <t>Rejali</t>
  </si>
  <si>
    <t>Rutkowski (LD)</t>
  </si>
  <si>
    <t>Rutkowski</t>
  </si>
  <si>
    <t>J Donson</t>
  </si>
  <si>
    <t>Rezaimehr</t>
  </si>
  <si>
    <t>Teng (LD)</t>
  </si>
  <si>
    <t>JDonson</t>
  </si>
  <si>
    <t>D Donson</t>
  </si>
  <si>
    <t>Swan</t>
  </si>
  <si>
    <t>Bialczak</t>
  </si>
  <si>
    <t>DDonson</t>
  </si>
  <si>
    <t>Blair (J4)</t>
  </si>
  <si>
    <t>Blair</t>
  </si>
  <si>
    <t>G Preciado</t>
  </si>
  <si>
    <t>Fletcher</t>
  </si>
  <si>
    <t>Brutscher</t>
  </si>
  <si>
    <t>K Preciado</t>
  </si>
  <si>
    <t>Manoochehri</t>
  </si>
  <si>
    <t>Parwar</t>
  </si>
  <si>
    <t>Osgood (LD)</t>
  </si>
  <si>
    <t>Osgood</t>
  </si>
  <si>
    <t>Torregrossa</t>
  </si>
  <si>
    <t>Mittendorf</t>
  </si>
  <si>
    <t>Kare</t>
  </si>
  <si>
    <t>Mittendorf (July 4)</t>
  </si>
  <si>
    <t>Wu</t>
  </si>
  <si>
    <t>Lee</t>
  </si>
  <si>
    <t>Munoz</t>
  </si>
  <si>
    <t>Afifi</t>
  </si>
  <si>
    <t>Tse</t>
  </si>
  <si>
    <t>Chu</t>
  </si>
  <si>
    <t>Whitlow</t>
  </si>
  <si>
    <t>Gerondale</t>
  </si>
  <si>
    <t>Fukunaga</t>
  </si>
  <si>
    <t>Sutton</t>
  </si>
  <si>
    <t>Yarovoy</t>
  </si>
  <si>
    <t>Amezquita</t>
  </si>
  <si>
    <t>Synstelien</t>
  </si>
  <si>
    <t>Vong</t>
  </si>
  <si>
    <t>Fleurat</t>
  </si>
  <si>
    <t>Christmas and July 4th</t>
  </si>
  <si>
    <t>Patel (MD)</t>
  </si>
  <si>
    <t>McCain</t>
  </si>
  <si>
    <t>Kim</t>
  </si>
  <si>
    <t>Sun (Mem)</t>
  </si>
  <si>
    <t>Teng (MD)</t>
  </si>
  <si>
    <t>Teng</t>
  </si>
  <si>
    <t>Le</t>
  </si>
  <si>
    <t>Swan (MD)</t>
  </si>
  <si>
    <t>Hanudel (J4)</t>
  </si>
  <si>
    <t>Angemi (MD)</t>
  </si>
  <si>
    <t>Whitlow (Mem Day)</t>
  </si>
  <si>
    <t>Tse (Bialczak J4)</t>
  </si>
  <si>
    <t>Hernandez</t>
  </si>
  <si>
    <t>Fukunaga (LD)</t>
  </si>
  <si>
    <t>New Years and Labor Day</t>
  </si>
  <si>
    <t>Hanudel (Mem)</t>
  </si>
  <si>
    <t>Kim (Mem)</t>
  </si>
  <si>
    <t>Nguyen (Mem)</t>
  </si>
  <si>
    <t>Blair (MD)</t>
  </si>
  <si>
    <t>Sun July 4th</t>
  </si>
  <si>
    <t>Lee (MD)</t>
  </si>
  <si>
    <t>Tse (Bialczak -LD)</t>
  </si>
  <si>
    <t>Blair (July 4)</t>
  </si>
  <si>
    <t>Lee (July 4th)</t>
  </si>
  <si>
    <t>Lee (July 4)</t>
  </si>
  <si>
    <t>Chu (July 4)</t>
  </si>
  <si>
    <t>Yarovoy (J4)</t>
  </si>
  <si>
    <t>Hanudel (jul 4)</t>
  </si>
  <si>
    <t>Sanchez</t>
  </si>
  <si>
    <t>Reddy</t>
  </si>
  <si>
    <t>G Preciado (LD)</t>
  </si>
  <si>
    <t>Whitlow (LD)</t>
  </si>
  <si>
    <t>Swan (to Fletch)</t>
  </si>
  <si>
    <t>Park</t>
  </si>
  <si>
    <t>McCain (LD)</t>
  </si>
  <si>
    <t>Fossati</t>
  </si>
  <si>
    <t>Talamo (LD)</t>
  </si>
  <si>
    <t>Manoochehri (Jul 4)</t>
  </si>
  <si>
    <t>Shah</t>
  </si>
  <si>
    <t>Lipinski</t>
  </si>
  <si>
    <t>Sun</t>
  </si>
  <si>
    <t>Orlik</t>
  </si>
  <si>
    <t>Mittendorf (jul 4)</t>
  </si>
  <si>
    <t>K Preciado (LD)</t>
  </si>
  <si>
    <t>Yun</t>
  </si>
  <si>
    <t>Hanudel (mem day)</t>
  </si>
  <si>
    <t>Hegedus</t>
  </si>
  <si>
    <t>Ramos</t>
  </si>
  <si>
    <t>Blair (Mem)</t>
  </si>
  <si>
    <t>Choudhury</t>
  </si>
  <si>
    <t>Lee (to Park)</t>
  </si>
  <si>
    <t>Parwar (Labor Day)</t>
  </si>
  <si>
    <t>Blair (Mem day)</t>
  </si>
  <si>
    <t>Nasser (Mem Day)</t>
  </si>
  <si>
    <t>Swan (Mem day)</t>
  </si>
  <si>
    <t>Park (to Lee)</t>
  </si>
  <si>
    <t>Fletcher (to Swan)</t>
  </si>
  <si>
    <t>Kim (Mem day)</t>
  </si>
  <si>
    <t>Lee (Mem day)</t>
  </si>
  <si>
    <t>Nguyen (Mem day)</t>
  </si>
  <si>
    <t>Munoz (Mem day)</t>
  </si>
  <si>
    <t>Rutkowski (Mem day)</t>
  </si>
  <si>
    <t>PROTECTED HOLIDAYS</t>
  </si>
  <si>
    <t>needed for main sheet</t>
  </si>
  <si>
    <t>Thanksgiving</t>
  </si>
  <si>
    <t>and Memorial Day</t>
  </si>
  <si>
    <t>total docs</t>
  </si>
  <si>
    <t>- Swan</t>
  </si>
  <si>
    <t>remaining docs</t>
  </si>
  <si>
    <t>Christmas</t>
  </si>
  <si>
    <t>and July 4th</t>
  </si>
  <si>
    <t>New Years</t>
  </si>
  <si>
    <t>and Labor Day</t>
  </si>
  <si>
    <t>- McCain</t>
  </si>
  <si>
    <t>tg</t>
  </si>
  <si>
    <t>xm</t>
  </si>
  <si>
    <t>ny</t>
  </si>
  <si>
    <t>New Year's</t>
  </si>
  <si>
    <t>6a-4p</t>
  </si>
  <si>
    <t>TG 13</t>
  </si>
  <si>
    <t>TG 7</t>
  </si>
  <si>
    <t>TG 10</t>
  </si>
  <si>
    <t>XM 7</t>
  </si>
  <si>
    <t>XM 10</t>
  </si>
  <si>
    <t>XM 9</t>
  </si>
  <si>
    <t>NY 7</t>
  </si>
  <si>
    <t>NY 9</t>
  </si>
  <si>
    <t>NY 10</t>
  </si>
  <si>
    <t>TG 19</t>
  </si>
  <si>
    <t>TG 11</t>
  </si>
  <si>
    <t>TG 9</t>
  </si>
  <si>
    <t>XM 8</t>
  </si>
  <si>
    <t>XM 11</t>
  </si>
  <si>
    <t>NY 8</t>
  </si>
  <si>
    <t>NY 11</t>
  </si>
  <si>
    <t>6a-5p</t>
  </si>
  <si>
    <t>TG 8</t>
  </si>
  <si>
    <t>XM 19</t>
  </si>
  <si>
    <t>8a-6p</t>
  </si>
  <si>
    <t>TG 20</t>
  </si>
  <si>
    <t>XM 22</t>
  </si>
  <si>
    <t>XM 20</t>
  </si>
  <si>
    <t>NY 13</t>
  </si>
  <si>
    <t>NY 20</t>
  </si>
  <si>
    <t>NY 14</t>
  </si>
  <si>
    <t>9a-8p</t>
  </si>
  <si>
    <t>TG 21</t>
  </si>
  <si>
    <t>XM 23</t>
  </si>
  <si>
    <t>XM 21</t>
  </si>
  <si>
    <t>NY 21</t>
  </si>
  <si>
    <t>12p-12a</t>
  </si>
  <si>
    <t>TG 12</t>
  </si>
  <si>
    <t>TG 23</t>
  </si>
  <si>
    <t>XM 12</t>
  </si>
  <si>
    <t>XM 13</t>
  </si>
  <si>
    <t>NY 12</t>
  </si>
  <si>
    <t>NY 19</t>
  </si>
  <si>
    <t>2p-12a</t>
  </si>
  <si>
    <t>TG 14</t>
  </si>
  <si>
    <t>TG 22</t>
  </si>
  <si>
    <t>XM 24</t>
  </si>
  <si>
    <t>XM 17</t>
  </si>
  <si>
    <t>NY 22</t>
  </si>
  <si>
    <t>TG 15</t>
  </si>
  <si>
    <t>XM 14</t>
  </si>
  <si>
    <t>NY 15</t>
  </si>
  <si>
    <t>3p-2a</t>
  </si>
  <si>
    <t>TG 16</t>
  </si>
  <si>
    <t>TG 18</t>
  </si>
  <si>
    <t>XM 16</t>
  </si>
  <si>
    <t>XM 15</t>
  </si>
  <si>
    <t>NY 16</t>
  </si>
  <si>
    <t>4p-2a</t>
  </si>
  <si>
    <t>TG 17</t>
  </si>
  <si>
    <t>NY 17</t>
  </si>
  <si>
    <t>6p-4a</t>
  </si>
  <si>
    <t>XM 18</t>
  </si>
  <si>
    <t>NY 18</t>
  </si>
  <si>
    <t>10p-8a</t>
  </si>
  <si>
    <t>TG 1</t>
  </si>
  <si>
    <t>TG 4</t>
  </si>
  <si>
    <t>XM 1</t>
  </si>
  <si>
    <t>XM 4</t>
  </si>
  <si>
    <t>NY 1</t>
  </si>
  <si>
    <t>NY 4</t>
  </si>
  <si>
    <t>10p-8a T</t>
  </si>
  <si>
    <t>TG 2</t>
  </si>
  <si>
    <t>TG 5</t>
  </si>
  <si>
    <t>XM 2</t>
  </si>
  <si>
    <t>XM 5</t>
  </si>
  <si>
    <t>NY 2</t>
  </si>
  <si>
    <t>NY 5</t>
  </si>
  <si>
    <t>TG 3</t>
  </si>
  <si>
    <t>TG 6</t>
  </si>
  <si>
    <t>XM 3</t>
  </si>
  <si>
    <t>XM 6</t>
  </si>
  <si>
    <t>NY 3</t>
  </si>
  <si>
    <t>NY 6</t>
  </si>
  <si>
    <t>TG</t>
  </si>
  <si>
    <t>WE</t>
  </si>
  <si>
    <t>Shifts</t>
  </si>
  <si>
    <t>Pain</t>
  </si>
  <si>
    <t>XME</t>
  </si>
  <si>
    <t>XMD</t>
  </si>
  <si>
    <t>NYE</t>
  </si>
  <si>
    <t>NYD</t>
  </si>
  <si>
    <t>NY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</si>
</sst>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ddd&quot;, &quot;m&quot;/&quot;d&quot;/&quot;yy"/>
  </numFmts>
  <fonts count="13">
    <font>
      <sz val="10.0"/>
      <color rgb="FF000000"/>
      <name val="Arial"/>
    </font>
    <font>
      <b/>
      <sz val="14.0"/>
    </font>
    <font>
      <b/>
      <sz val="14.0"/>
      <color rgb="FF999999"/>
    </font>
    <font>
      <color rgb="FF999999"/>
    </font>
    <font/>
    <font>
      <color rgb="FF999999"/>
      <name val="Arial"/>
    </font>
    <font>
      <b/>
      <sz val="14.0"/>
      <color rgb="FF000000"/>
    </font>
    <font>
      <b/>
    </font>
    <font>
      <color rgb="FF000000"/>
    </font>
    <font>
      <color rgb="FFFF0000"/>
    </font>
    <font>
      <name val="Arial"/>
    </font>
    <font>
      <b/>
      <sz val="12.0"/>
      <name val="Arial"/>
    </font>
    <font>
      <sz val="12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2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4" fontId="7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4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4" fontId="3" numFmtId="0" xfId="0" applyFont="1"/>
    <xf borderId="0" fillId="4" fontId="5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8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1" fillId="5" fontId="11" numFmtId="0" xfId="0" applyAlignment="1" applyBorder="1" applyFill="1" applyFont="1">
      <alignment horizontal="center" textRotation="30" vertical="bottom"/>
    </xf>
    <xf borderId="1" fillId="5" fontId="12" numFmtId="164" xfId="0" applyAlignment="1" applyBorder="1" applyFont="1" applyNumberFormat="1">
      <alignment horizontal="center" textRotation="30" vertical="bottom"/>
    </xf>
    <xf borderId="1" fillId="6" fontId="10" numFmtId="0" xfId="0" applyAlignment="1" applyBorder="1" applyFill="1" applyFont="1">
      <alignment vertical="bottom"/>
    </xf>
    <xf borderId="1" fillId="7" fontId="11" numFmtId="0" xfId="0" applyAlignment="1" applyBorder="1" applyFill="1" applyFont="1">
      <alignment horizontal="center" textRotation="30" vertical="bottom"/>
    </xf>
    <xf borderId="1" fillId="7" fontId="12" numFmtId="164" xfId="0" applyAlignment="1" applyBorder="1" applyFont="1" applyNumberFormat="1">
      <alignment horizontal="center" textRotation="30" vertical="bottom"/>
    </xf>
    <xf borderId="1" fillId="7" fontId="12" numFmtId="164" xfId="0" applyAlignment="1" applyBorder="1" applyFont="1" applyNumberFormat="1">
      <alignment horizontal="center" textRotation="30" vertical="bottom"/>
    </xf>
    <xf borderId="1" fillId="8" fontId="11" numFmtId="0" xfId="0" applyAlignment="1" applyBorder="1" applyFill="1" applyFont="1">
      <alignment horizontal="center" textRotation="30" vertical="bottom"/>
    </xf>
    <xf borderId="1" fillId="8" fontId="12" numFmtId="164" xfId="0" applyAlignment="1" applyBorder="1" applyFont="1" applyNumberFormat="1">
      <alignment horizontal="center" textRotation="30" vertical="bottom"/>
    </xf>
    <xf borderId="1" fillId="8" fontId="12" numFmtId="164" xfId="0" applyAlignment="1" applyBorder="1" applyFont="1" applyNumberFormat="1">
      <alignment horizontal="center" textRotation="30" vertical="bottom"/>
    </xf>
    <xf borderId="1" fillId="5" fontId="11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0" fillId="6" fontId="10" numFmtId="0" xfId="0" applyAlignment="1" applyFont="1">
      <alignment vertical="bottom"/>
    </xf>
    <xf borderId="1" fillId="7" fontId="11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center" vertical="bottom"/>
    </xf>
    <xf borderId="1" fillId="8" fontId="11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3" fontId="8" numFmtId="0" xfId="0" applyAlignment="1" applyFont="1">
      <alignment horizontal="center"/>
    </xf>
    <xf borderId="1" fillId="5" fontId="11" numFmtId="0" xfId="0" applyAlignment="1" applyBorder="1" applyFont="1">
      <alignment horizontal="right" readingOrder="0" vertical="bottom"/>
    </xf>
    <xf borderId="1" fillId="7" fontId="11" numFmtId="0" xfId="0" applyAlignment="1" applyBorder="1" applyFont="1">
      <alignment horizontal="right" readingOrder="0" vertical="bottom"/>
    </xf>
    <xf borderId="1" fillId="8" fontId="1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3">
    <dxf>
      <font>
        <b/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75"/>
    <col customWidth="1" min="2" max="6" width="16.25"/>
    <col customWidth="1" min="7" max="9" width="13.75"/>
  </cols>
  <sheetData>
    <row r="1">
      <c r="A1" s="1" t="s">
        <v>0</v>
      </c>
      <c r="B1" s="2">
        <v>2021.0</v>
      </c>
      <c r="C1" s="2">
        <v>2022.0</v>
      </c>
      <c r="D1" s="2">
        <f t="shared" ref="D1:I1" si="1">C1+1</f>
        <v>2023</v>
      </c>
      <c r="E1" s="2">
        <f t="shared" si="1"/>
        <v>2024</v>
      </c>
      <c r="F1" s="2">
        <f t="shared" si="1"/>
        <v>2025</v>
      </c>
      <c r="G1" s="2">
        <f t="shared" si="1"/>
        <v>2026</v>
      </c>
      <c r="H1" s="2">
        <f t="shared" si="1"/>
        <v>2027</v>
      </c>
      <c r="I1" s="2">
        <f t="shared" si="1"/>
        <v>2028</v>
      </c>
    </row>
    <row r="2">
      <c r="A2" s="1">
        <f>year(today())</f>
        <v>2026</v>
      </c>
      <c r="B2" s="3"/>
      <c r="C2" s="3"/>
      <c r="D2" s="3"/>
      <c r="E2" s="3"/>
      <c r="F2" s="3"/>
      <c r="G2" s="3"/>
      <c r="H2" s="3"/>
      <c r="I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3</v>
      </c>
      <c r="G3" s="5" t="s">
        <v>6</v>
      </c>
      <c r="H3" s="5" t="s">
        <v>5</v>
      </c>
      <c r="I3" s="5" t="s">
        <v>3</v>
      </c>
    </row>
    <row r="4">
      <c r="B4" s="5" t="s">
        <v>7</v>
      </c>
      <c r="C4" s="5" t="s">
        <v>8</v>
      </c>
      <c r="D4" s="5" t="s">
        <v>9</v>
      </c>
      <c r="E4" s="5" t="s">
        <v>10</v>
      </c>
      <c r="F4" s="5" t="s">
        <v>8</v>
      </c>
      <c r="G4" s="5" t="s">
        <v>11</v>
      </c>
      <c r="H4" s="5" t="s">
        <v>7</v>
      </c>
      <c r="I4" s="5" t="s">
        <v>8</v>
      </c>
    </row>
    <row r="5"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14</v>
      </c>
      <c r="H5" s="5" t="s">
        <v>15</v>
      </c>
      <c r="I5" s="5" t="s">
        <v>17</v>
      </c>
    </row>
    <row r="6">
      <c r="B6" s="5" t="s">
        <v>18</v>
      </c>
      <c r="C6" s="5" t="s">
        <v>19</v>
      </c>
      <c r="D6" s="5" t="s">
        <v>20</v>
      </c>
      <c r="E6" s="5" t="s">
        <v>21</v>
      </c>
      <c r="F6" s="5" t="s">
        <v>19</v>
      </c>
      <c r="G6" s="5" t="s">
        <v>16</v>
      </c>
      <c r="H6" s="5" t="s">
        <v>21</v>
      </c>
      <c r="I6" s="5" t="s">
        <v>19</v>
      </c>
    </row>
    <row r="7"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24</v>
      </c>
      <c r="H7" s="5" t="s">
        <v>25</v>
      </c>
      <c r="I7" s="5" t="s">
        <v>23</v>
      </c>
    </row>
    <row r="8">
      <c r="B8" s="5" t="s">
        <v>27</v>
      </c>
      <c r="C8" s="5" t="s">
        <v>28</v>
      </c>
      <c r="D8" s="5" t="s">
        <v>29</v>
      </c>
      <c r="E8" s="5" t="s">
        <v>12</v>
      </c>
      <c r="F8" s="5" t="s">
        <v>28</v>
      </c>
      <c r="G8" s="5" t="s">
        <v>29</v>
      </c>
      <c r="H8" s="5" t="s">
        <v>27</v>
      </c>
      <c r="I8" s="5" t="s">
        <v>28</v>
      </c>
    </row>
    <row r="9">
      <c r="B9" s="5" t="s">
        <v>30</v>
      </c>
      <c r="C9" s="5" t="s">
        <v>31</v>
      </c>
      <c r="D9" s="5" t="s">
        <v>32</v>
      </c>
      <c r="E9" s="5" t="s">
        <v>30</v>
      </c>
      <c r="F9" s="5" t="s">
        <v>31</v>
      </c>
      <c r="G9" s="5"/>
      <c r="H9" s="5" t="s">
        <v>30</v>
      </c>
      <c r="I9" s="5" t="s">
        <v>31</v>
      </c>
    </row>
    <row r="10">
      <c r="B10" s="5" t="s">
        <v>33</v>
      </c>
      <c r="C10" s="5" t="s">
        <v>34</v>
      </c>
      <c r="D10" s="6" t="s">
        <v>16</v>
      </c>
      <c r="E10" s="5" t="s">
        <v>33</v>
      </c>
      <c r="F10" s="5" t="s">
        <v>35</v>
      </c>
      <c r="G10" s="5" t="s">
        <v>36</v>
      </c>
      <c r="H10" s="5" t="s">
        <v>33</v>
      </c>
      <c r="I10" s="5" t="s">
        <v>35</v>
      </c>
    </row>
    <row r="11">
      <c r="B11" s="5" t="s">
        <v>37</v>
      </c>
      <c r="C11" s="5" t="s">
        <v>38</v>
      </c>
      <c r="D11" s="5" t="s">
        <v>36</v>
      </c>
      <c r="E11" s="5" t="s">
        <v>39</v>
      </c>
      <c r="F11" s="5" t="s">
        <v>38</v>
      </c>
      <c r="G11" s="5" t="s">
        <v>40</v>
      </c>
      <c r="H11" s="5" t="s">
        <v>37</v>
      </c>
      <c r="I11" s="5" t="s">
        <v>38</v>
      </c>
    </row>
    <row r="12">
      <c r="B12" s="5" t="s">
        <v>41</v>
      </c>
      <c r="C12" s="5" t="s">
        <v>42</v>
      </c>
      <c r="D12" s="5" t="s">
        <v>40</v>
      </c>
      <c r="E12" s="5" t="s">
        <v>16</v>
      </c>
      <c r="F12" s="5" t="s">
        <v>42</v>
      </c>
      <c r="G12" s="5" t="s">
        <v>43</v>
      </c>
      <c r="H12" s="5" t="s">
        <v>41</v>
      </c>
      <c r="I12" s="5" t="s">
        <v>42</v>
      </c>
    </row>
    <row r="13">
      <c r="B13" s="5" t="s">
        <v>44</v>
      </c>
      <c r="C13" s="5" t="s">
        <v>45</v>
      </c>
      <c r="D13" s="5" t="s">
        <v>46</v>
      </c>
      <c r="E13" s="5" t="s">
        <v>44</v>
      </c>
      <c r="F13" s="5" t="s">
        <v>45</v>
      </c>
      <c r="G13" s="6" t="s">
        <v>47</v>
      </c>
      <c r="H13" s="6" t="s">
        <v>44</v>
      </c>
      <c r="I13" s="6" t="s">
        <v>45</v>
      </c>
    </row>
    <row r="14">
      <c r="B14" s="7"/>
      <c r="C14" s="5" t="s">
        <v>48</v>
      </c>
      <c r="D14" s="5" t="s">
        <v>49</v>
      </c>
      <c r="E14" s="5" t="s">
        <v>50</v>
      </c>
      <c r="F14" s="5" t="s">
        <v>48</v>
      </c>
      <c r="G14" s="6" t="s">
        <v>51</v>
      </c>
      <c r="H14" s="6" t="s">
        <v>50</v>
      </c>
      <c r="I14" s="6" t="s">
        <v>48</v>
      </c>
    </row>
    <row r="15">
      <c r="B15" s="7"/>
      <c r="C15" s="7"/>
      <c r="D15" s="7"/>
      <c r="E15" s="5" t="s">
        <v>52</v>
      </c>
      <c r="F15" s="7"/>
      <c r="G15" s="6" t="s">
        <v>53</v>
      </c>
      <c r="H15" s="6" t="s">
        <v>52</v>
      </c>
      <c r="I15" s="6" t="s">
        <v>54</v>
      </c>
    </row>
    <row r="16">
      <c r="A16" s="8"/>
      <c r="B16" s="7"/>
      <c r="C16" s="7"/>
      <c r="D16" s="7"/>
      <c r="E16" s="5"/>
      <c r="F16" s="7"/>
      <c r="G16" s="7"/>
      <c r="H16" s="7"/>
      <c r="I16" s="7"/>
    </row>
    <row r="17">
      <c r="A17" s="9" t="s">
        <v>55</v>
      </c>
      <c r="B17" s="10" t="s">
        <v>16</v>
      </c>
      <c r="C17" s="10" t="s">
        <v>2</v>
      </c>
      <c r="D17" s="10" t="s">
        <v>3</v>
      </c>
      <c r="E17" s="10" t="s">
        <v>4</v>
      </c>
      <c r="F17" s="10" t="s">
        <v>5</v>
      </c>
      <c r="G17" s="10" t="s">
        <v>3</v>
      </c>
      <c r="H17" s="10" t="s">
        <v>4</v>
      </c>
      <c r="I17" s="10" t="s">
        <v>5</v>
      </c>
    </row>
    <row r="18">
      <c r="B18" s="10" t="s">
        <v>9</v>
      </c>
      <c r="C18" s="10" t="s">
        <v>7</v>
      </c>
      <c r="D18" s="10" t="s">
        <v>8</v>
      </c>
      <c r="E18" s="10" t="s">
        <v>9</v>
      </c>
      <c r="F18" s="10" t="s">
        <v>7</v>
      </c>
      <c r="G18" s="10" t="s">
        <v>56</v>
      </c>
      <c r="H18" s="10" t="s">
        <v>9</v>
      </c>
      <c r="I18" s="10" t="s">
        <v>7</v>
      </c>
    </row>
    <row r="19">
      <c r="B19" s="10" t="s">
        <v>57</v>
      </c>
      <c r="C19" s="10" t="s">
        <v>58</v>
      </c>
      <c r="D19" s="10" t="s">
        <v>59</v>
      </c>
      <c r="E19" s="10" t="s">
        <v>14</v>
      </c>
      <c r="F19" s="10" t="s">
        <v>15</v>
      </c>
      <c r="G19" s="10" t="s">
        <v>60</v>
      </c>
      <c r="H19" s="10" t="s">
        <v>14</v>
      </c>
      <c r="I19" s="10" t="s">
        <v>15</v>
      </c>
    </row>
    <row r="20">
      <c r="B20" s="10" t="s">
        <v>61</v>
      </c>
      <c r="C20" s="10" t="s">
        <v>18</v>
      </c>
      <c r="D20" s="10" t="s">
        <v>19</v>
      </c>
      <c r="E20" s="10" t="s">
        <v>20</v>
      </c>
      <c r="F20" s="10" t="s">
        <v>21</v>
      </c>
      <c r="G20" s="10" t="s">
        <v>19</v>
      </c>
      <c r="H20" s="10" t="s">
        <v>61</v>
      </c>
      <c r="I20" s="10" t="s">
        <v>21</v>
      </c>
    </row>
    <row r="21">
      <c r="B21" s="10" t="s">
        <v>24</v>
      </c>
      <c r="C21" s="10" t="s">
        <v>22</v>
      </c>
      <c r="D21" s="10" t="s">
        <v>62</v>
      </c>
      <c r="E21" s="10" t="s">
        <v>24</v>
      </c>
      <c r="F21" s="10" t="s">
        <v>25</v>
      </c>
      <c r="G21" s="10" t="s">
        <v>23</v>
      </c>
      <c r="H21" s="10" t="s">
        <v>24</v>
      </c>
      <c r="I21" s="10" t="s">
        <v>25</v>
      </c>
    </row>
    <row r="22">
      <c r="B22" s="10" t="s">
        <v>29</v>
      </c>
      <c r="C22" s="10" t="s">
        <v>27</v>
      </c>
      <c r="D22" s="10" t="s">
        <v>28</v>
      </c>
      <c r="E22" s="10" t="s">
        <v>29</v>
      </c>
      <c r="F22" s="10" t="s">
        <v>63</v>
      </c>
      <c r="G22" s="10" t="s">
        <v>64</v>
      </c>
      <c r="H22" s="10" t="s">
        <v>29</v>
      </c>
      <c r="I22" s="10" t="s">
        <v>27</v>
      </c>
    </row>
    <row r="23">
      <c r="B23" s="10" t="s">
        <v>32</v>
      </c>
      <c r="C23" s="10" t="s">
        <v>30</v>
      </c>
      <c r="D23" s="10" t="s">
        <v>31</v>
      </c>
      <c r="E23" s="10" t="s">
        <v>32</v>
      </c>
      <c r="F23" s="10" t="s">
        <v>30</v>
      </c>
      <c r="G23" s="10" t="s">
        <v>65</v>
      </c>
      <c r="H23" s="10"/>
      <c r="I23" s="10" t="s">
        <v>30</v>
      </c>
    </row>
    <row r="24">
      <c r="B24" s="10" t="s">
        <v>4</v>
      </c>
      <c r="C24" s="10" t="s">
        <v>33</v>
      </c>
      <c r="D24" s="10" t="s">
        <v>35</v>
      </c>
      <c r="E24" s="10"/>
      <c r="F24" s="10" t="s">
        <v>33</v>
      </c>
      <c r="G24" s="10" t="s">
        <v>35</v>
      </c>
      <c r="H24" s="10" t="s">
        <v>36</v>
      </c>
      <c r="I24" s="10" t="s">
        <v>33</v>
      </c>
    </row>
    <row r="25">
      <c r="B25" s="10" t="s">
        <v>36</v>
      </c>
      <c r="C25" s="10" t="s">
        <v>37</v>
      </c>
      <c r="D25" s="10" t="s">
        <v>38</v>
      </c>
      <c r="E25" s="10" t="s">
        <v>36</v>
      </c>
      <c r="F25" s="10" t="s">
        <v>37</v>
      </c>
      <c r="G25" s="10" t="s">
        <v>38</v>
      </c>
      <c r="H25" s="10" t="s">
        <v>40</v>
      </c>
      <c r="I25" s="10" t="s">
        <v>37</v>
      </c>
    </row>
    <row r="26">
      <c r="B26" s="10" t="s">
        <v>40</v>
      </c>
      <c r="C26" s="10" t="s">
        <v>16</v>
      </c>
      <c r="D26" s="10" t="s">
        <v>42</v>
      </c>
      <c r="E26" s="10" t="s">
        <v>40</v>
      </c>
      <c r="F26" s="10" t="s">
        <v>41</v>
      </c>
      <c r="G26" s="10" t="s">
        <v>42</v>
      </c>
      <c r="H26" s="10" t="s">
        <v>43</v>
      </c>
      <c r="I26" s="10" t="s">
        <v>41</v>
      </c>
    </row>
    <row r="27">
      <c r="B27" s="10" t="s">
        <v>46</v>
      </c>
      <c r="C27" s="10" t="s">
        <v>44</v>
      </c>
      <c r="D27" s="10" t="s">
        <v>45</v>
      </c>
      <c r="E27" s="10" t="s">
        <v>66</v>
      </c>
      <c r="F27" s="10" t="s">
        <v>67</v>
      </c>
      <c r="G27" s="10" t="s">
        <v>45</v>
      </c>
      <c r="H27" s="10" t="s">
        <v>47</v>
      </c>
      <c r="I27" s="10" t="s">
        <v>44</v>
      </c>
    </row>
    <row r="28">
      <c r="B28" s="11" t="s">
        <v>49</v>
      </c>
      <c r="C28" s="10" t="s">
        <v>68</v>
      </c>
      <c r="D28" s="10" t="s">
        <v>69</v>
      </c>
      <c r="E28" s="10" t="s">
        <v>47</v>
      </c>
      <c r="F28" s="10" t="s">
        <v>50</v>
      </c>
      <c r="G28" s="10" t="s">
        <v>5</v>
      </c>
      <c r="H28" s="10" t="s">
        <v>51</v>
      </c>
      <c r="I28" s="10" t="s">
        <v>50</v>
      </c>
    </row>
    <row r="29">
      <c r="B29" s="11"/>
      <c r="C29" s="10"/>
      <c r="D29" s="10"/>
      <c r="E29" s="10" t="s">
        <v>51</v>
      </c>
      <c r="F29" s="10" t="s">
        <v>52</v>
      </c>
      <c r="G29" s="10" t="s">
        <v>54</v>
      </c>
      <c r="H29" s="10" t="s">
        <v>53</v>
      </c>
      <c r="I29" s="10" t="s">
        <v>52</v>
      </c>
    </row>
    <row r="30">
      <c r="A30" s="8"/>
      <c r="B30" s="7"/>
      <c r="C30" s="7"/>
      <c r="D30" s="7"/>
      <c r="E30" s="7"/>
      <c r="F30" s="7"/>
      <c r="G30" s="7"/>
      <c r="H30" s="7"/>
      <c r="I30" s="7"/>
    </row>
    <row r="31">
      <c r="A31" s="4" t="s">
        <v>70</v>
      </c>
      <c r="B31" s="5" t="s">
        <v>3</v>
      </c>
      <c r="C31" s="5" t="s">
        <v>71</v>
      </c>
      <c r="D31" s="5" t="s">
        <v>5</v>
      </c>
      <c r="E31" s="5" t="s">
        <v>7</v>
      </c>
      <c r="F31" s="5" t="s">
        <v>71</v>
      </c>
      <c r="G31" s="10" t="s">
        <v>48</v>
      </c>
      <c r="H31" s="5" t="s">
        <v>3</v>
      </c>
      <c r="I31" s="5" t="s">
        <v>4</v>
      </c>
    </row>
    <row r="32">
      <c r="B32" s="5" t="s">
        <v>72</v>
      </c>
      <c r="C32" s="5" t="s">
        <v>9</v>
      </c>
      <c r="D32" s="5" t="s">
        <v>73</v>
      </c>
      <c r="E32" s="5" t="s">
        <v>74</v>
      </c>
      <c r="F32" s="5" t="s">
        <v>9</v>
      </c>
      <c r="G32" s="10" t="s">
        <v>7</v>
      </c>
      <c r="H32" s="5" t="s">
        <v>8</v>
      </c>
      <c r="I32" s="5" t="s">
        <v>9</v>
      </c>
    </row>
    <row r="33">
      <c r="B33" s="5" t="s">
        <v>75</v>
      </c>
      <c r="C33" s="5" t="s">
        <v>57</v>
      </c>
      <c r="D33" s="5" t="s">
        <v>15</v>
      </c>
      <c r="E33" s="5" t="s">
        <v>76</v>
      </c>
      <c r="F33" s="5" t="s">
        <v>14</v>
      </c>
      <c r="G33" s="10" t="s">
        <v>15</v>
      </c>
      <c r="H33" s="5" t="s">
        <v>17</v>
      </c>
      <c r="I33" s="5" t="s">
        <v>14</v>
      </c>
    </row>
    <row r="34">
      <c r="B34" s="5" t="s">
        <v>19</v>
      </c>
      <c r="C34" s="5" t="s">
        <v>61</v>
      </c>
      <c r="D34" s="5" t="s">
        <v>21</v>
      </c>
      <c r="E34" s="5" t="s">
        <v>19</v>
      </c>
      <c r="F34" s="5" t="s">
        <v>61</v>
      </c>
      <c r="G34" s="10" t="s">
        <v>21</v>
      </c>
      <c r="H34" s="5" t="s">
        <v>19</v>
      </c>
      <c r="I34" s="5" t="s">
        <v>61</v>
      </c>
    </row>
    <row r="35">
      <c r="B35" s="5" t="s">
        <v>23</v>
      </c>
      <c r="C35" s="5" t="s">
        <v>24</v>
      </c>
      <c r="D35" s="5" t="s">
        <v>25</v>
      </c>
      <c r="E35" s="5"/>
      <c r="F35" s="5" t="s">
        <v>77</v>
      </c>
      <c r="G35" s="10" t="s">
        <v>25</v>
      </c>
      <c r="H35" s="5" t="s">
        <v>23</v>
      </c>
      <c r="I35" s="5" t="s">
        <v>24</v>
      </c>
    </row>
    <row r="36">
      <c r="B36" s="5" t="s">
        <v>28</v>
      </c>
      <c r="C36" s="5" t="s">
        <v>29</v>
      </c>
      <c r="D36" s="5" t="s">
        <v>78</v>
      </c>
      <c r="E36" s="5" t="s">
        <v>28</v>
      </c>
      <c r="F36" s="5" t="s">
        <v>29</v>
      </c>
      <c r="G36" s="10" t="s">
        <v>27</v>
      </c>
      <c r="H36" s="5" t="s">
        <v>28</v>
      </c>
      <c r="I36" s="5" t="s">
        <v>29</v>
      </c>
    </row>
    <row r="37">
      <c r="B37" s="5" t="s">
        <v>31</v>
      </c>
      <c r="C37" s="5" t="s">
        <v>32</v>
      </c>
      <c r="D37" s="5" t="s">
        <v>30</v>
      </c>
      <c r="E37" s="5" t="s">
        <v>31</v>
      </c>
      <c r="F37" s="5" t="s">
        <v>32</v>
      </c>
      <c r="G37" s="10" t="s">
        <v>30</v>
      </c>
      <c r="H37" s="5" t="s">
        <v>31</v>
      </c>
      <c r="I37" s="5"/>
    </row>
    <row r="38">
      <c r="B38" s="5" t="s">
        <v>35</v>
      </c>
      <c r="C38" s="5" t="s">
        <v>79</v>
      </c>
      <c r="D38" s="5" t="s">
        <v>33</v>
      </c>
      <c r="E38" s="5" t="s">
        <v>35</v>
      </c>
      <c r="F38" s="5" t="s">
        <v>36</v>
      </c>
      <c r="G38" s="10" t="s">
        <v>33</v>
      </c>
      <c r="H38" s="5" t="s">
        <v>35</v>
      </c>
      <c r="I38" s="5" t="s">
        <v>36</v>
      </c>
    </row>
    <row r="39">
      <c r="B39" s="5" t="s">
        <v>38</v>
      </c>
      <c r="C39" s="5" t="s">
        <v>36</v>
      </c>
      <c r="D39" s="5" t="s">
        <v>37</v>
      </c>
      <c r="E39" s="5" t="s">
        <v>38</v>
      </c>
      <c r="F39" s="5" t="s">
        <v>40</v>
      </c>
      <c r="G39" s="10" t="s">
        <v>37</v>
      </c>
      <c r="H39" s="5" t="s">
        <v>38</v>
      </c>
      <c r="I39" s="5" t="s">
        <v>40</v>
      </c>
    </row>
    <row r="40">
      <c r="B40" s="5" t="s">
        <v>42</v>
      </c>
      <c r="C40" s="5" t="s">
        <v>40</v>
      </c>
      <c r="D40" s="5" t="s">
        <v>80</v>
      </c>
      <c r="E40" s="5" t="s">
        <v>42</v>
      </c>
      <c r="F40" s="6" t="s">
        <v>43</v>
      </c>
      <c r="G40" s="10" t="s">
        <v>41</v>
      </c>
      <c r="H40" s="5" t="s">
        <v>42</v>
      </c>
      <c r="I40" s="5" t="s">
        <v>43</v>
      </c>
    </row>
    <row r="41">
      <c r="B41" s="5" t="s">
        <v>45</v>
      </c>
      <c r="C41" s="5" t="s">
        <v>46</v>
      </c>
      <c r="D41" s="5" t="s">
        <v>44</v>
      </c>
      <c r="E41" s="5" t="s">
        <v>81</v>
      </c>
      <c r="F41" s="6" t="s">
        <v>47</v>
      </c>
      <c r="G41" s="10" t="s">
        <v>44</v>
      </c>
      <c r="H41" s="5" t="s">
        <v>45</v>
      </c>
      <c r="I41" s="5" t="s">
        <v>47</v>
      </c>
    </row>
    <row r="42">
      <c r="B42" s="7"/>
      <c r="C42" s="12" t="s">
        <v>49</v>
      </c>
      <c r="D42" s="5" t="s">
        <v>50</v>
      </c>
      <c r="E42" s="5" t="s">
        <v>48</v>
      </c>
      <c r="F42" s="6" t="s">
        <v>51</v>
      </c>
      <c r="G42" s="10" t="s">
        <v>82</v>
      </c>
      <c r="H42" s="5" t="s">
        <v>48</v>
      </c>
      <c r="I42" s="5" t="s">
        <v>51</v>
      </c>
    </row>
    <row r="43">
      <c r="A43" s="8"/>
      <c r="B43" s="7"/>
      <c r="C43" s="7"/>
      <c r="D43" s="7"/>
      <c r="E43" s="5" t="s">
        <v>23</v>
      </c>
      <c r="F43" s="6" t="s">
        <v>53</v>
      </c>
      <c r="G43" s="10" t="s">
        <v>52</v>
      </c>
      <c r="H43" s="5" t="s">
        <v>54</v>
      </c>
      <c r="I43" s="5" t="s">
        <v>53</v>
      </c>
    </row>
  </sheetData>
  <mergeCells count="3">
    <mergeCell ref="A3:A15"/>
    <mergeCell ref="A17:A29"/>
    <mergeCell ref="A31:A42"/>
  </mergeCells>
  <conditionalFormatting sqref="B1:I43">
    <cfRule type="expression" dxfId="0" priority="1">
      <formula>$A$2=B$1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2015.0</v>
      </c>
      <c r="B1" s="2">
        <v>2016.0</v>
      </c>
      <c r="C1" s="2">
        <v>2017.0</v>
      </c>
      <c r="D1" s="2">
        <v>2018.0</v>
      </c>
      <c r="E1" s="2">
        <v>2019.0</v>
      </c>
      <c r="F1" s="2">
        <v>2020.0</v>
      </c>
    </row>
    <row r="2">
      <c r="A2" s="3"/>
      <c r="B2" s="3"/>
      <c r="C2" s="3"/>
      <c r="D2" s="3"/>
      <c r="E2" s="3"/>
      <c r="F2" s="3"/>
    </row>
    <row r="3">
      <c r="A3" s="5" t="s">
        <v>2</v>
      </c>
      <c r="B3" s="5" t="s">
        <v>3</v>
      </c>
      <c r="C3" s="5" t="s">
        <v>4</v>
      </c>
      <c r="D3" s="5" t="s">
        <v>2</v>
      </c>
      <c r="E3" s="5" t="s">
        <v>10</v>
      </c>
      <c r="F3" s="5" t="s">
        <v>83</v>
      </c>
    </row>
    <row r="4">
      <c r="A4" s="5" t="s">
        <v>7</v>
      </c>
      <c r="B4" s="5" t="s">
        <v>84</v>
      </c>
      <c r="C4" s="5" t="s">
        <v>9</v>
      </c>
      <c r="D4" s="5" t="s">
        <v>34</v>
      </c>
      <c r="E4" s="5" t="s">
        <v>84</v>
      </c>
      <c r="F4" s="5" t="s">
        <v>9</v>
      </c>
    </row>
    <row r="5">
      <c r="A5" s="5" t="s">
        <v>58</v>
      </c>
      <c r="B5" s="5" t="s">
        <v>17</v>
      </c>
      <c r="C5" s="5" t="s">
        <v>85</v>
      </c>
      <c r="D5" s="5" t="s">
        <v>86</v>
      </c>
      <c r="E5" s="5" t="s">
        <v>87</v>
      </c>
      <c r="F5" s="5" t="s">
        <v>16</v>
      </c>
    </row>
    <row r="6">
      <c r="A6" s="5" t="s">
        <v>18</v>
      </c>
      <c r="B6" s="5" t="s">
        <v>19</v>
      </c>
      <c r="C6" s="5" t="s">
        <v>61</v>
      </c>
      <c r="D6" s="5" t="s">
        <v>18</v>
      </c>
      <c r="E6" s="5" t="s">
        <v>19</v>
      </c>
      <c r="F6" s="5" t="s">
        <v>61</v>
      </c>
    </row>
    <row r="7">
      <c r="A7" s="5" t="s">
        <v>22</v>
      </c>
      <c r="B7" s="5" t="s">
        <v>88</v>
      </c>
      <c r="C7" s="5" t="s">
        <v>89</v>
      </c>
      <c r="D7" s="5" t="s">
        <v>22</v>
      </c>
      <c r="E7" s="5" t="s">
        <v>90</v>
      </c>
      <c r="F7" s="5" t="s">
        <v>91</v>
      </c>
    </row>
    <row r="8">
      <c r="A8" s="5" t="s">
        <v>27</v>
      </c>
      <c r="B8" s="5" t="s">
        <v>28</v>
      </c>
      <c r="C8" s="5" t="s">
        <v>29</v>
      </c>
      <c r="D8" s="5" t="s">
        <v>92</v>
      </c>
      <c r="E8" s="5" t="s">
        <v>28</v>
      </c>
      <c r="F8" s="5" t="s">
        <v>29</v>
      </c>
    </row>
    <row r="9">
      <c r="A9" s="5" t="s">
        <v>30</v>
      </c>
      <c r="B9" s="5" t="s">
        <v>31</v>
      </c>
      <c r="C9" s="5" t="s">
        <v>32</v>
      </c>
      <c r="D9" s="5" t="s">
        <v>30</v>
      </c>
      <c r="E9" s="5" t="s">
        <v>31</v>
      </c>
      <c r="F9" s="5" t="s">
        <v>93</v>
      </c>
    </row>
    <row r="10">
      <c r="A10" s="5" t="s">
        <v>33</v>
      </c>
      <c r="B10" s="5" t="s">
        <v>94</v>
      </c>
      <c r="C10" s="5" t="s">
        <v>95</v>
      </c>
      <c r="D10" s="5" t="s">
        <v>33</v>
      </c>
      <c r="E10" s="5" t="s">
        <v>35</v>
      </c>
      <c r="F10" s="5" t="s">
        <v>96</v>
      </c>
    </row>
    <row r="11">
      <c r="A11" s="5" t="s">
        <v>37</v>
      </c>
      <c r="B11" s="5" t="s">
        <v>97</v>
      </c>
      <c r="C11" s="5" t="s">
        <v>36</v>
      </c>
      <c r="D11" s="5" t="s">
        <v>98</v>
      </c>
      <c r="E11" s="5" t="s">
        <v>38</v>
      </c>
      <c r="F11" s="5" t="s">
        <v>36</v>
      </c>
    </row>
    <row r="12">
      <c r="A12" s="5"/>
      <c r="B12" s="5" t="s">
        <v>38</v>
      </c>
      <c r="C12" s="5" t="s">
        <v>40</v>
      </c>
      <c r="D12" s="5" t="s">
        <v>99</v>
      </c>
      <c r="E12" s="5" t="s">
        <v>42</v>
      </c>
      <c r="F12" s="5" t="s">
        <v>40</v>
      </c>
    </row>
    <row r="13">
      <c r="A13" s="7"/>
      <c r="B13" s="7"/>
      <c r="C13" s="5" t="s">
        <v>46</v>
      </c>
      <c r="D13" s="5" t="s">
        <v>44</v>
      </c>
      <c r="E13" s="5" t="s">
        <v>45</v>
      </c>
      <c r="F13" s="5" t="s">
        <v>46</v>
      </c>
    </row>
    <row r="14">
      <c r="A14" s="7"/>
      <c r="B14" s="7"/>
      <c r="C14" s="5" t="s">
        <v>100</v>
      </c>
      <c r="D14" s="7"/>
      <c r="E14" s="7"/>
      <c r="F14" s="5" t="s">
        <v>49</v>
      </c>
    </row>
    <row r="15">
      <c r="A15" s="7"/>
      <c r="B15" s="7"/>
      <c r="C15" s="7"/>
      <c r="D15" s="7"/>
      <c r="E15" s="7"/>
      <c r="F15" s="7"/>
    </row>
    <row r="16">
      <c r="A16" s="10" t="s">
        <v>4</v>
      </c>
      <c r="B16" s="10" t="s">
        <v>2</v>
      </c>
      <c r="C16" s="10" t="s">
        <v>3</v>
      </c>
      <c r="D16" s="10" t="s">
        <v>101</v>
      </c>
      <c r="E16" s="10" t="s">
        <v>2</v>
      </c>
      <c r="F16" s="10" t="s">
        <v>3</v>
      </c>
    </row>
    <row r="17">
      <c r="A17" s="10" t="s">
        <v>102</v>
      </c>
      <c r="B17" s="10" t="s">
        <v>7</v>
      </c>
      <c r="C17" s="10" t="s">
        <v>84</v>
      </c>
      <c r="D17" s="10" t="s">
        <v>9</v>
      </c>
      <c r="E17" s="10" t="s">
        <v>7</v>
      </c>
      <c r="F17" s="10" t="s">
        <v>84</v>
      </c>
    </row>
    <row r="18">
      <c r="A18" s="10" t="s">
        <v>103</v>
      </c>
      <c r="B18" s="10" t="s">
        <v>58</v>
      </c>
      <c r="C18" s="10" t="s">
        <v>17</v>
      </c>
      <c r="D18" s="10" t="s">
        <v>57</v>
      </c>
      <c r="E18" s="10" t="s">
        <v>58</v>
      </c>
      <c r="F18" s="10" t="s">
        <v>57</v>
      </c>
    </row>
    <row r="19">
      <c r="A19" s="10" t="s">
        <v>61</v>
      </c>
      <c r="B19" s="10" t="s">
        <v>18</v>
      </c>
      <c r="C19" s="10" t="s">
        <v>19</v>
      </c>
      <c r="D19" s="10" t="s">
        <v>61</v>
      </c>
      <c r="E19" s="10" t="s">
        <v>18</v>
      </c>
      <c r="F19" s="10" t="s">
        <v>19</v>
      </c>
    </row>
    <row r="20">
      <c r="A20" s="10" t="s">
        <v>89</v>
      </c>
      <c r="B20" s="10" t="s">
        <v>22</v>
      </c>
      <c r="C20" s="10" t="s">
        <v>23</v>
      </c>
      <c r="D20" s="10" t="s">
        <v>89</v>
      </c>
      <c r="E20" s="10" t="s">
        <v>22</v>
      </c>
      <c r="F20" s="10" t="s">
        <v>23</v>
      </c>
    </row>
    <row r="21">
      <c r="A21" s="10" t="s">
        <v>29</v>
      </c>
      <c r="B21" s="10" t="s">
        <v>27</v>
      </c>
      <c r="C21" s="10" t="s">
        <v>28</v>
      </c>
      <c r="D21" s="10" t="s">
        <v>29</v>
      </c>
      <c r="E21" s="10" t="s">
        <v>104</v>
      </c>
      <c r="F21" s="10" t="s">
        <v>28</v>
      </c>
    </row>
    <row r="22">
      <c r="A22" s="10" t="s">
        <v>32</v>
      </c>
      <c r="B22" s="10" t="s">
        <v>30</v>
      </c>
      <c r="C22" s="10" t="s">
        <v>31</v>
      </c>
      <c r="D22" s="10" t="s">
        <v>32</v>
      </c>
      <c r="E22" s="10" t="s">
        <v>30</v>
      </c>
      <c r="F22" s="10" t="s">
        <v>31</v>
      </c>
    </row>
    <row r="23">
      <c r="A23" s="10" t="s">
        <v>105</v>
      </c>
      <c r="B23" s="10" t="s">
        <v>33</v>
      </c>
      <c r="C23" s="10" t="s">
        <v>35</v>
      </c>
      <c r="D23" s="10" t="s">
        <v>96</v>
      </c>
      <c r="E23" s="10" t="s">
        <v>33</v>
      </c>
      <c r="F23" s="10" t="s">
        <v>35</v>
      </c>
    </row>
    <row r="24">
      <c r="A24" s="10" t="s">
        <v>36</v>
      </c>
      <c r="B24" s="10" t="s">
        <v>37</v>
      </c>
      <c r="C24" s="10" t="s">
        <v>97</v>
      </c>
      <c r="D24" s="10" t="s">
        <v>36</v>
      </c>
      <c r="E24" s="10" t="s">
        <v>37</v>
      </c>
      <c r="F24" s="10" t="s">
        <v>38</v>
      </c>
    </row>
    <row r="25">
      <c r="A25" s="10" t="s">
        <v>40</v>
      </c>
      <c r="B25" s="10" t="s">
        <v>106</v>
      </c>
      <c r="C25" s="10" t="s">
        <v>38</v>
      </c>
      <c r="D25" s="10" t="s">
        <v>40</v>
      </c>
      <c r="E25" s="10" t="s">
        <v>41</v>
      </c>
      <c r="F25" s="10" t="s">
        <v>107</v>
      </c>
    </row>
    <row r="26">
      <c r="A26" s="3"/>
      <c r="B26" s="3"/>
      <c r="C26" s="10" t="s">
        <v>42</v>
      </c>
      <c r="D26" s="10" t="s">
        <v>46</v>
      </c>
      <c r="E26" s="10" t="s">
        <v>44</v>
      </c>
      <c r="F26" s="10" t="s">
        <v>45</v>
      </c>
    </row>
    <row r="27">
      <c r="A27" s="3"/>
      <c r="B27" s="3"/>
      <c r="C27" s="10" t="s">
        <v>45</v>
      </c>
      <c r="D27" s="10" t="s">
        <v>100</v>
      </c>
      <c r="E27" s="10" t="s">
        <v>91</v>
      </c>
      <c r="F27" s="3"/>
    </row>
    <row r="28">
      <c r="A28" s="7"/>
      <c r="B28" s="7"/>
      <c r="C28" s="7"/>
      <c r="D28" s="7"/>
      <c r="E28" s="7"/>
      <c r="F28" s="7"/>
    </row>
    <row r="29">
      <c r="A29" s="5" t="s">
        <v>3</v>
      </c>
      <c r="B29" s="5" t="s">
        <v>4</v>
      </c>
      <c r="C29" s="5" t="s">
        <v>2</v>
      </c>
      <c r="D29" s="5" t="s">
        <v>108</v>
      </c>
      <c r="E29" s="5" t="s">
        <v>4</v>
      </c>
      <c r="F29" s="5" t="s">
        <v>109</v>
      </c>
    </row>
    <row r="30">
      <c r="A30" s="5" t="s">
        <v>84</v>
      </c>
      <c r="B30" s="5" t="s">
        <v>9</v>
      </c>
      <c r="C30" s="5" t="s">
        <v>7</v>
      </c>
      <c r="D30" s="5" t="s">
        <v>84</v>
      </c>
      <c r="E30" s="5" t="s">
        <v>9</v>
      </c>
      <c r="F30" s="5" t="s">
        <v>7</v>
      </c>
    </row>
    <row r="31">
      <c r="A31" s="5" t="s">
        <v>17</v>
      </c>
      <c r="B31" s="5" t="s">
        <v>85</v>
      </c>
      <c r="C31" s="5" t="s">
        <v>58</v>
      </c>
      <c r="D31" s="5" t="s">
        <v>17</v>
      </c>
      <c r="E31" s="5" t="s">
        <v>110</v>
      </c>
      <c r="F31" s="5" t="s">
        <v>58</v>
      </c>
    </row>
    <row r="32">
      <c r="A32" s="5" t="s">
        <v>19</v>
      </c>
      <c r="B32" s="5" t="s">
        <v>61</v>
      </c>
      <c r="C32" s="5" t="s">
        <v>18</v>
      </c>
      <c r="D32" s="5" t="s">
        <v>19</v>
      </c>
      <c r="E32" s="5" t="s">
        <v>61</v>
      </c>
      <c r="F32" s="5" t="s">
        <v>18</v>
      </c>
    </row>
    <row r="33">
      <c r="A33" s="5" t="s">
        <v>23</v>
      </c>
      <c r="B33" s="5" t="s">
        <v>111</v>
      </c>
      <c r="C33" s="5" t="s">
        <v>22</v>
      </c>
      <c r="D33" s="5" t="s">
        <v>23</v>
      </c>
      <c r="E33" s="5" t="s">
        <v>89</v>
      </c>
      <c r="F33" s="5" t="s">
        <v>22</v>
      </c>
    </row>
    <row r="34">
      <c r="A34" s="5" t="s">
        <v>28</v>
      </c>
      <c r="B34" s="5" t="s">
        <v>112</v>
      </c>
      <c r="C34" s="5" t="s">
        <v>27</v>
      </c>
      <c r="D34" s="5" t="s">
        <v>113</v>
      </c>
      <c r="E34" s="5" t="s">
        <v>29</v>
      </c>
      <c r="F34" s="5" t="s">
        <v>27</v>
      </c>
    </row>
    <row r="35">
      <c r="A35" s="5" t="s">
        <v>31</v>
      </c>
      <c r="B35" s="5" t="s">
        <v>32</v>
      </c>
      <c r="C35" s="5" t="s">
        <v>30</v>
      </c>
      <c r="D35" s="5" t="s">
        <v>114</v>
      </c>
      <c r="E35" s="5" t="s">
        <v>32</v>
      </c>
      <c r="F35" s="5" t="s">
        <v>30</v>
      </c>
    </row>
    <row r="36">
      <c r="A36" s="5" t="s">
        <v>94</v>
      </c>
      <c r="B36" s="5" t="s">
        <v>95</v>
      </c>
      <c r="C36" s="5" t="s">
        <v>33</v>
      </c>
      <c r="D36" s="5" t="s">
        <v>115</v>
      </c>
      <c r="E36" s="5" t="s">
        <v>96</v>
      </c>
      <c r="F36" s="5" t="s">
        <v>116</v>
      </c>
    </row>
    <row r="37">
      <c r="A37" s="5" t="s">
        <v>97</v>
      </c>
      <c r="B37" s="5" t="s">
        <v>36</v>
      </c>
      <c r="C37" s="5" t="s">
        <v>37</v>
      </c>
      <c r="D37" s="5" t="s">
        <v>38</v>
      </c>
      <c r="E37" s="5" t="s">
        <v>36</v>
      </c>
      <c r="F37" s="5" t="s">
        <v>37</v>
      </c>
    </row>
    <row r="38">
      <c r="A38" s="7"/>
      <c r="B38" s="5" t="s">
        <v>40</v>
      </c>
      <c r="C38" s="5" t="s">
        <v>41</v>
      </c>
      <c r="D38" s="5" t="s">
        <v>42</v>
      </c>
      <c r="E38" s="5" t="s">
        <v>40</v>
      </c>
      <c r="F38" s="5" t="s">
        <v>41</v>
      </c>
    </row>
    <row r="39">
      <c r="A39" s="7"/>
      <c r="B39" s="7"/>
      <c r="C39" s="5" t="s">
        <v>44</v>
      </c>
      <c r="D39" s="5" t="s">
        <v>45</v>
      </c>
      <c r="E39" s="5" t="s">
        <v>117</v>
      </c>
      <c r="F39" s="5" t="s">
        <v>44</v>
      </c>
    </row>
    <row r="40">
      <c r="A40" s="7"/>
      <c r="B40" s="7"/>
      <c r="C40" s="7"/>
      <c r="D40" s="7"/>
      <c r="E40" s="7"/>
      <c r="F40" s="5" t="s">
        <v>24</v>
      </c>
    </row>
    <row r="41">
      <c r="A41" s="7"/>
      <c r="B41" s="7"/>
      <c r="C41" s="7"/>
      <c r="D41" s="7"/>
      <c r="E41" s="7"/>
      <c r="F41" s="7"/>
    </row>
  </sheetData>
  <conditionalFormatting sqref="A1:F41">
    <cfRule type="expression" dxfId="0" priority="1">
      <formula>$A$2=A$1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13"/>
    <col customWidth="1" min="2" max="2" width="10.25"/>
    <col customWidth="1" min="3" max="3" width="14.5"/>
    <col customWidth="1" min="4" max="4" width="10.25"/>
    <col customWidth="1" min="5" max="5" width="15.13"/>
    <col customWidth="1" min="6" max="6" width="16.75"/>
    <col customWidth="1" min="7" max="7" width="15.25"/>
    <col customWidth="1" min="8" max="9" width="12.0"/>
    <col customWidth="1" min="11" max="14" width="17.38"/>
  </cols>
  <sheetData>
    <row r="1">
      <c r="A1" s="13">
        <f>year(today())</f>
        <v>2026</v>
      </c>
      <c r="B1" s="14"/>
      <c r="C1" s="15" t="s">
        <v>118</v>
      </c>
      <c r="F1" s="14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>
      <c r="A2" s="13"/>
      <c r="B2" s="14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>
      <c r="A3" s="13"/>
      <c r="B3" s="17">
        <v>2015.0</v>
      </c>
      <c r="C3" s="17">
        <v>2016.0</v>
      </c>
      <c r="D3" s="17">
        <v>2017.0</v>
      </c>
      <c r="E3" s="17">
        <v>2018.0</v>
      </c>
      <c r="F3" s="17">
        <v>2019.0</v>
      </c>
      <c r="G3" s="17">
        <v>2020.0</v>
      </c>
      <c r="H3" s="17">
        <v>2021.0</v>
      </c>
      <c r="I3" s="17">
        <v>2022.0</v>
      </c>
      <c r="J3" s="17">
        <f t="shared" ref="J3:L3" si="1">I3+1</f>
        <v>2023</v>
      </c>
      <c r="K3" s="17">
        <f t="shared" si="1"/>
        <v>2024</v>
      </c>
      <c r="L3" s="17">
        <f t="shared" si="1"/>
        <v>2025</v>
      </c>
      <c r="M3" s="16"/>
      <c r="N3" s="16"/>
      <c r="O3" s="16"/>
      <c r="P3" s="14" t="s">
        <v>119</v>
      </c>
      <c r="Q3" s="16"/>
      <c r="R3" s="16"/>
      <c r="S3" s="16"/>
      <c r="T3" s="16"/>
      <c r="U3" s="16"/>
    </row>
    <row r="4">
      <c r="A4" s="13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>
      <c r="A5" s="18" t="s">
        <v>120</v>
      </c>
      <c r="B5" s="14" t="s">
        <v>2</v>
      </c>
      <c r="C5" s="14" t="s">
        <v>3</v>
      </c>
      <c r="D5" s="14" t="s">
        <v>4</v>
      </c>
      <c r="E5" s="14" t="s">
        <v>2</v>
      </c>
      <c r="F5" s="14" t="s">
        <v>10</v>
      </c>
      <c r="G5" s="14" t="s">
        <v>83</v>
      </c>
      <c r="H5" s="14" t="s">
        <v>2</v>
      </c>
      <c r="I5" s="14" t="s">
        <v>3</v>
      </c>
      <c r="J5" s="14" t="s">
        <v>4</v>
      </c>
      <c r="K5" s="14" t="s">
        <v>2</v>
      </c>
      <c r="L5" s="14" t="s">
        <v>3</v>
      </c>
      <c r="M5" s="18"/>
      <c r="N5" s="18" t="s">
        <v>120</v>
      </c>
      <c r="O5" s="16"/>
      <c r="P5" s="14">
        <v>3.0</v>
      </c>
      <c r="Q5" s="16"/>
      <c r="R5" s="16"/>
      <c r="S5" s="16"/>
      <c r="T5" s="16"/>
      <c r="U5" s="16"/>
    </row>
    <row r="6">
      <c r="A6" s="18" t="s">
        <v>121</v>
      </c>
      <c r="B6" s="14" t="s">
        <v>7</v>
      </c>
      <c r="C6" s="14" t="s">
        <v>84</v>
      </c>
      <c r="D6" s="14" t="s">
        <v>9</v>
      </c>
      <c r="E6" s="14" t="s">
        <v>34</v>
      </c>
      <c r="F6" s="14" t="s">
        <v>84</v>
      </c>
      <c r="G6" s="14" t="s">
        <v>9</v>
      </c>
      <c r="H6" s="14" t="s">
        <v>7</v>
      </c>
      <c r="I6" s="14" t="s">
        <v>8</v>
      </c>
      <c r="J6" s="14" t="s">
        <v>9</v>
      </c>
      <c r="K6" s="14" t="s">
        <v>7</v>
      </c>
      <c r="L6" s="14" t="s">
        <v>8</v>
      </c>
      <c r="M6" s="18"/>
      <c r="N6" s="18" t="s">
        <v>121</v>
      </c>
      <c r="O6" s="16"/>
      <c r="P6" s="16">
        <f t="shared" ref="P6:P50" si="2">P5+1</f>
        <v>4</v>
      </c>
      <c r="Q6" s="16"/>
      <c r="R6" s="16"/>
      <c r="S6" s="16"/>
      <c r="T6" s="16"/>
      <c r="U6" s="16"/>
    </row>
    <row r="7">
      <c r="A7" s="19"/>
      <c r="B7" s="14" t="s">
        <v>58</v>
      </c>
      <c r="C7" s="14" t="s">
        <v>17</v>
      </c>
      <c r="D7" s="14" t="s">
        <v>85</v>
      </c>
      <c r="E7" s="14" t="s">
        <v>86</v>
      </c>
      <c r="F7" s="14" t="s">
        <v>87</v>
      </c>
      <c r="G7" s="14" t="s">
        <v>16</v>
      </c>
      <c r="H7" s="14" t="s">
        <v>12</v>
      </c>
      <c r="I7" s="14" t="s">
        <v>13</v>
      </c>
      <c r="J7" s="14" t="s">
        <v>57</v>
      </c>
      <c r="K7" s="14" t="s">
        <v>58</v>
      </c>
      <c r="L7" s="14" t="s">
        <v>17</v>
      </c>
      <c r="M7" s="16"/>
      <c r="N7" s="16"/>
      <c r="O7" s="16"/>
      <c r="P7" s="16">
        <f t="shared" si="2"/>
        <v>5</v>
      </c>
      <c r="Q7" s="16"/>
      <c r="R7" s="16"/>
      <c r="S7" s="16"/>
      <c r="T7" s="16"/>
      <c r="U7" s="16"/>
    </row>
    <row r="8">
      <c r="A8" s="18"/>
      <c r="B8" s="14" t="s">
        <v>18</v>
      </c>
      <c r="C8" s="14" t="s">
        <v>19</v>
      </c>
      <c r="D8" s="14" t="s">
        <v>61</v>
      </c>
      <c r="E8" s="14" t="s">
        <v>18</v>
      </c>
      <c r="F8" s="14" t="s">
        <v>19</v>
      </c>
      <c r="G8" s="14" t="s">
        <v>61</v>
      </c>
      <c r="H8" s="14" t="s">
        <v>18</v>
      </c>
      <c r="I8" s="14" t="s">
        <v>19</v>
      </c>
      <c r="J8" s="14" t="s">
        <v>61</v>
      </c>
      <c r="K8" s="14" t="s">
        <v>21</v>
      </c>
      <c r="L8" s="14" t="s">
        <v>19</v>
      </c>
      <c r="M8" s="20"/>
      <c r="N8" s="20" t="s">
        <v>122</v>
      </c>
      <c r="O8" s="21">
        <f>counta(I5:I16)</f>
        <v>12</v>
      </c>
      <c r="P8" s="16">
        <f t="shared" si="2"/>
        <v>6</v>
      </c>
      <c r="Q8" s="16"/>
      <c r="R8" s="16"/>
      <c r="S8" s="16"/>
      <c r="T8" s="16"/>
      <c r="U8" s="16"/>
    </row>
    <row r="9">
      <c r="A9" s="18"/>
      <c r="B9" s="14" t="s">
        <v>22</v>
      </c>
      <c r="C9" s="14" t="s">
        <v>88</v>
      </c>
      <c r="D9" s="14" t="s">
        <v>89</v>
      </c>
      <c r="E9" s="14" t="s">
        <v>22</v>
      </c>
      <c r="F9" s="14" t="s">
        <v>90</v>
      </c>
      <c r="G9" s="14" t="s">
        <v>91</v>
      </c>
      <c r="H9" s="14" t="s">
        <v>22</v>
      </c>
      <c r="I9" s="14" t="s">
        <v>23</v>
      </c>
      <c r="J9" s="14" t="s">
        <v>24</v>
      </c>
      <c r="K9" s="14" t="s">
        <v>25</v>
      </c>
      <c r="L9" s="14" t="s">
        <v>23</v>
      </c>
      <c r="M9" s="20"/>
      <c r="N9" s="20" t="s">
        <v>123</v>
      </c>
      <c r="O9" s="20">
        <v>1.0</v>
      </c>
      <c r="P9" s="16">
        <f t="shared" si="2"/>
        <v>7</v>
      </c>
      <c r="Q9" s="16"/>
      <c r="R9" s="16"/>
      <c r="S9" s="16"/>
      <c r="T9" s="16"/>
      <c r="U9" s="16"/>
    </row>
    <row r="10">
      <c r="A10" s="13"/>
      <c r="B10" s="14" t="s">
        <v>27</v>
      </c>
      <c r="C10" s="14" t="s">
        <v>28</v>
      </c>
      <c r="D10" s="14" t="s">
        <v>29</v>
      </c>
      <c r="E10" s="14" t="s">
        <v>92</v>
      </c>
      <c r="F10" s="14" t="s">
        <v>28</v>
      </c>
      <c r="G10" s="14" t="s">
        <v>29</v>
      </c>
      <c r="H10" s="14" t="s">
        <v>27</v>
      </c>
      <c r="I10" s="14" t="s">
        <v>28</v>
      </c>
      <c r="J10" s="14" t="s">
        <v>29</v>
      </c>
      <c r="K10" s="14" t="s">
        <v>27</v>
      </c>
      <c r="L10" s="14" t="s">
        <v>28</v>
      </c>
      <c r="M10" s="22"/>
      <c r="N10" s="22" t="s">
        <v>124</v>
      </c>
      <c r="O10" s="23">
        <f>O8-O9</f>
        <v>11</v>
      </c>
      <c r="P10" s="16">
        <f t="shared" si="2"/>
        <v>8</v>
      </c>
      <c r="Q10" s="16"/>
      <c r="R10" s="16"/>
      <c r="S10" s="16"/>
      <c r="T10" s="16"/>
      <c r="U10" s="16"/>
    </row>
    <row r="11">
      <c r="A11" s="13"/>
      <c r="B11" s="14" t="s">
        <v>30</v>
      </c>
      <c r="C11" s="14" t="s">
        <v>31</v>
      </c>
      <c r="D11" s="14" t="s">
        <v>32</v>
      </c>
      <c r="E11" s="14" t="s">
        <v>30</v>
      </c>
      <c r="F11" s="14" t="s">
        <v>31</v>
      </c>
      <c r="G11" s="14" t="s">
        <v>93</v>
      </c>
      <c r="H11" s="14" t="s">
        <v>30</v>
      </c>
      <c r="I11" s="14" t="s">
        <v>31</v>
      </c>
      <c r="J11" s="14" t="s">
        <v>32</v>
      </c>
      <c r="K11" s="14" t="s">
        <v>30</v>
      </c>
      <c r="L11" s="14" t="s">
        <v>31</v>
      </c>
      <c r="M11" s="16"/>
      <c r="N11" s="16"/>
      <c r="O11" s="16"/>
      <c r="P11" s="16">
        <f t="shared" si="2"/>
        <v>9</v>
      </c>
      <c r="Q11" s="16"/>
      <c r="R11" s="16"/>
      <c r="S11" s="16"/>
      <c r="T11" s="16"/>
      <c r="U11" s="16"/>
    </row>
    <row r="12">
      <c r="A12" s="13"/>
      <c r="B12" s="14" t="s">
        <v>33</v>
      </c>
      <c r="C12" s="14" t="s">
        <v>94</v>
      </c>
      <c r="D12" s="14" t="s">
        <v>95</v>
      </c>
      <c r="E12" s="14" t="s">
        <v>33</v>
      </c>
      <c r="F12" s="14" t="s">
        <v>35</v>
      </c>
      <c r="G12" s="14" t="s">
        <v>96</v>
      </c>
      <c r="H12" s="14" t="s">
        <v>33</v>
      </c>
      <c r="I12" s="14" t="s">
        <v>34</v>
      </c>
      <c r="J12" s="14" t="s">
        <v>96</v>
      </c>
      <c r="K12" s="14" t="s">
        <v>33</v>
      </c>
      <c r="L12" s="14" t="s">
        <v>35</v>
      </c>
      <c r="M12" s="16"/>
      <c r="N12" s="16"/>
      <c r="O12" s="16"/>
      <c r="P12" s="16">
        <f t="shared" si="2"/>
        <v>10</v>
      </c>
      <c r="Q12" s="16"/>
      <c r="R12" s="16"/>
      <c r="S12" s="16"/>
      <c r="T12" s="16"/>
      <c r="U12" s="16"/>
    </row>
    <row r="13">
      <c r="A13" s="13"/>
      <c r="B13" s="14" t="s">
        <v>37</v>
      </c>
      <c r="C13" s="14" t="s">
        <v>97</v>
      </c>
      <c r="D13" s="14" t="s">
        <v>36</v>
      </c>
      <c r="E13" s="14" t="s">
        <v>98</v>
      </c>
      <c r="F13" s="14" t="s">
        <v>38</v>
      </c>
      <c r="G13" s="14" t="s">
        <v>36</v>
      </c>
      <c r="H13" s="14" t="s">
        <v>37</v>
      </c>
      <c r="I13" s="14" t="s">
        <v>38</v>
      </c>
      <c r="J13" s="14" t="s">
        <v>36</v>
      </c>
      <c r="K13" s="14" t="s">
        <v>37</v>
      </c>
      <c r="L13" s="14" t="s">
        <v>38</v>
      </c>
      <c r="M13" s="16"/>
      <c r="N13" s="16"/>
      <c r="O13" s="16"/>
      <c r="P13" s="16">
        <f t="shared" si="2"/>
        <v>11</v>
      </c>
      <c r="Q13" s="16"/>
      <c r="R13" s="16"/>
      <c r="S13" s="16"/>
      <c r="T13" s="16"/>
      <c r="U13" s="16"/>
    </row>
    <row r="14">
      <c r="A14" s="13"/>
      <c r="B14" s="14"/>
      <c r="C14" s="14" t="s">
        <v>38</v>
      </c>
      <c r="D14" s="14" t="s">
        <v>40</v>
      </c>
      <c r="E14" s="14" t="s">
        <v>99</v>
      </c>
      <c r="F14" s="14" t="s">
        <v>42</v>
      </c>
      <c r="G14" s="14" t="s">
        <v>40</v>
      </c>
      <c r="H14" s="14" t="s">
        <v>41</v>
      </c>
      <c r="I14" s="14" t="s">
        <v>42</v>
      </c>
      <c r="J14" s="14" t="s">
        <v>40</v>
      </c>
      <c r="K14" s="14" t="s">
        <v>41</v>
      </c>
      <c r="L14" s="14" t="s">
        <v>42</v>
      </c>
      <c r="M14" s="16"/>
      <c r="N14" s="16"/>
      <c r="O14" s="16"/>
      <c r="P14" s="16">
        <f t="shared" si="2"/>
        <v>12</v>
      </c>
      <c r="Q14" s="16"/>
      <c r="R14" s="16"/>
      <c r="S14" s="16"/>
      <c r="T14" s="16"/>
      <c r="U14" s="16"/>
    </row>
    <row r="15">
      <c r="A15" s="13"/>
      <c r="B15" s="16"/>
      <c r="C15" s="16"/>
      <c r="D15" s="14" t="s">
        <v>46</v>
      </c>
      <c r="E15" s="14" t="s">
        <v>44</v>
      </c>
      <c r="F15" s="14" t="s">
        <v>45</v>
      </c>
      <c r="G15" s="14" t="s">
        <v>46</v>
      </c>
      <c r="H15" s="14" t="s">
        <v>44</v>
      </c>
      <c r="I15" s="14" t="s">
        <v>45</v>
      </c>
      <c r="J15" s="14" t="s">
        <v>46</v>
      </c>
      <c r="K15" s="14" t="s">
        <v>44</v>
      </c>
      <c r="L15" s="14" t="s">
        <v>45</v>
      </c>
      <c r="M15" s="16"/>
      <c r="N15" s="16"/>
      <c r="O15" s="16"/>
      <c r="P15" s="16">
        <f t="shared" si="2"/>
        <v>13</v>
      </c>
      <c r="Q15" s="16"/>
      <c r="R15" s="16"/>
      <c r="S15" s="16"/>
      <c r="T15" s="16"/>
      <c r="U15" s="16"/>
    </row>
    <row r="16">
      <c r="A16" s="13"/>
      <c r="B16" s="16"/>
      <c r="C16" s="16"/>
      <c r="D16" s="14" t="s">
        <v>100</v>
      </c>
      <c r="E16" s="16"/>
      <c r="F16" s="16"/>
      <c r="G16" s="14" t="s">
        <v>49</v>
      </c>
      <c r="H16" s="16"/>
      <c r="I16" s="14" t="s">
        <v>48</v>
      </c>
      <c r="J16" s="14" t="s">
        <v>49</v>
      </c>
      <c r="K16" s="14" t="s">
        <v>68</v>
      </c>
      <c r="L16" s="14" t="s">
        <v>48</v>
      </c>
      <c r="M16" s="16"/>
      <c r="N16" s="16"/>
      <c r="O16" s="16"/>
      <c r="P16" s="16">
        <f t="shared" si="2"/>
        <v>14</v>
      </c>
      <c r="Q16" s="16"/>
      <c r="R16" s="16"/>
      <c r="S16" s="16"/>
      <c r="T16" s="16"/>
      <c r="U16" s="16"/>
    </row>
    <row r="17">
      <c r="A17" s="13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>
        <f t="shared" si="2"/>
        <v>15</v>
      </c>
      <c r="Q17" s="16"/>
      <c r="R17" s="16"/>
      <c r="S17" s="16"/>
      <c r="T17" s="16"/>
      <c r="U17" s="16"/>
    </row>
    <row r="18">
      <c r="A18" s="24" t="s">
        <v>125</v>
      </c>
      <c r="B18" s="25" t="s">
        <v>4</v>
      </c>
      <c r="C18" s="25" t="s">
        <v>2</v>
      </c>
      <c r="D18" s="25" t="s">
        <v>3</v>
      </c>
      <c r="E18" s="25" t="s">
        <v>101</v>
      </c>
      <c r="F18" s="25" t="s">
        <v>2</v>
      </c>
      <c r="G18" s="25" t="s">
        <v>3</v>
      </c>
      <c r="H18" s="25" t="s">
        <v>16</v>
      </c>
      <c r="I18" s="25" t="s">
        <v>2</v>
      </c>
      <c r="J18" s="14" t="s">
        <v>3</v>
      </c>
      <c r="K18" s="14" t="s">
        <v>4</v>
      </c>
      <c r="L18" s="14" t="s">
        <v>2</v>
      </c>
      <c r="M18" s="24"/>
      <c r="N18" s="24" t="s">
        <v>125</v>
      </c>
      <c r="O18" s="16"/>
      <c r="P18" s="16">
        <f t="shared" si="2"/>
        <v>16</v>
      </c>
      <c r="Q18" s="16"/>
      <c r="R18" s="16"/>
      <c r="S18" s="16"/>
      <c r="T18" s="16"/>
      <c r="U18" s="16"/>
    </row>
    <row r="19">
      <c r="A19" s="24" t="s">
        <v>126</v>
      </c>
      <c r="B19" s="25" t="s">
        <v>102</v>
      </c>
      <c r="C19" s="25" t="s">
        <v>7</v>
      </c>
      <c r="D19" s="25" t="s">
        <v>84</v>
      </c>
      <c r="E19" s="25" t="s">
        <v>9</v>
      </c>
      <c r="F19" s="25" t="s">
        <v>7</v>
      </c>
      <c r="G19" s="25" t="s">
        <v>84</v>
      </c>
      <c r="H19" s="25" t="s">
        <v>9</v>
      </c>
      <c r="I19" s="25" t="s">
        <v>7</v>
      </c>
      <c r="J19" s="14" t="s">
        <v>8</v>
      </c>
      <c r="K19" s="14" t="s">
        <v>9</v>
      </c>
      <c r="L19" s="14" t="s">
        <v>7</v>
      </c>
      <c r="M19" s="24"/>
      <c r="N19" s="24" t="s">
        <v>126</v>
      </c>
      <c r="O19" s="16"/>
      <c r="P19" s="16">
        <f t="shared" si="2"/>
        <v>17</v>
      </c>
      <c r="Q19" s="16"/>
      <c r="R19" s="16"/>
      <c r="S19" s="16"/>
      <c r="T19" s="16"/>
      <c r="U19" s="16"/>
    </row>
    <row r="20">
      <c r="A20" s="26"/>
      <c r="B20" s="25" t="s">
        <v>103</v>
      </c>
      <c r="C20" s="25" t="s">
        <v>58</v>
      </c>
      <c r="D20" s="25" t="s">
        <v>17</v>
      </c>
      <c r="E20" s="25" t="s">
        <v>57</v>
      </c>
      <c r="F20" s="25" t="s">
        <v>58</v>
      </c>
      <c r="G20" s="25" t="s">
        <v>57</v>
      </c>
      <c r="H20" s="25" t="s">
        <v>57</v>
      </c>
      <c r="I20" s="25" t="s">
        <v>58</v>
      </c>
      <c r="J20" s="14" t="s">
        <v>17</v>
      </c>
      <c r="K20" s="14" t="s">
        <v>57</v>
      </c>
      <c r="L20" s="14" t="s">
        <v>58</v>
      </c>
      <c r="M20" s="16"/>
      <c r="N20" s="16"/>
      <c r="O20" s="16"/>
      <c r="P20" s="16">
        <f t="shared" si="2"/>
        <v>18</v>
      </c>
      <c r="Q20" s="16"/>
      <c r="R20" s="16"/>
      <c r="S20" s="16"/>
      <c r="T20" s="16"/>
      <c r="U20" s="16"/>
    </row>
    <row r="21">
      <c r="A21" s="24"/>
      <c r="B21" s="25" t="s">
        <v>61</v>
      </c>
      <c r="C21" s="25" t="s">
        <v>18</v>
      </c>
      <c r="D21" s="25" t="s">
        <v>19</v>
      </c>
      <c r="E21" s="25" t="s">
        <v>61</v>
      </c>
      <c r="F21" s="25" t="s">
        <v>18</v>
      </c>
      <c r="G21" s="25" t="s">
        <v>19</v>
      </c>
      <c r="H21" s="25" t="s">
        <v>61</v>
      </c>
      <c r="I21" s="25" t="s">
        <v>18</v>
      </c>
      <c r="J21" s="14" t="s">
        <v>19</v>
      </c>
      <c r="K21" s="14" t="s">
        <v>61</v>
      </c>
      <c r="L21" s="14" t="s">
        <v>21</v>
      </c>
      <c r="M21" s="27"/>
      <c r="N21" s="27" t="s">
        <v>122</v>
      </c>
      <c r="O21" s="16">
        <f>counta(I18:I29)</f>
        <v>12</v>
      </c>
      <c r="P21" s="16">
        <f t="shared" si="2"/>
        <v>19</v>
      </c>
      <c r="Q21" s="16"/>
      <c r="R21" s="16"/>
      <c r="S21" s="16"/>
      <c r="T21" s="16"/>
      <c r="U21" s="16"/>
    </row>
    <row r="22">
      <c r="A22" s="24"/>
      <c r="B22" s="25" t="s">
        <v>89</v>
      </c>
      <c r="C22" s="25" t="s">
        <v>22</v>
      </c>
      <c r="D22" s="25" t="s">
        <v>23</v>
      </c>
      <c r="E22" s="25" t="s">
        <v>89</v>
      </c>
      <c r="F22" s="25" t="s">
        <v>22</v>
      </c>
      <c r="G22" s="25" t="s">
        <v>23</v>
      </c>
      <c r="H22" s="25" t="s">
        <v>24</v>
      </c>
      <c r="I22" s="25" t="s">
        <v>22</v>
      </c>
      <c r="J22" s="14" t="s">
        <v>23</v>
      </c>
      <c r="K22" s="14" t="s">
        <v>24</v>
      </c>
      <c r="L22" s="14" t="s">
        <v>25</v>
      </c>
      <c r="M22" s="16"/>
      <c r="N22" s="16"/>
      <c r="O22" s="16"/>
      <c r="P22" s="16">
        <f t="shared" si="2"/>
        <v>20</v>
      </c>
      <c r="Q22" s="16"/>
      <c r="R22" s="16"/>
      <c r="S22" s="16"/>
      <c r="T22" s="16"/>
      <c r="U22" s="16"/>
    </row>
    <row r="23">
      <c r="A23" s="26"/>
      <c r="B23" s="25" t="s">
        <v>29</v>
      </c>
      <c r="C23" s="25" t="s">
        <v>27</v>
      </c>
      <c r="D23" s="25" t="s">
        <v>28</v>
      </c>
      <c r="E23" s="25" t="s">
        <v>29</v>
      </c>
      <c r="F23" s="25" t="s">
        <v>104</v>
      </c>
      <c r="G23" s="25" t="s">
        <v>28</v>
      </c>
      <c r="H23" s="25" t="s">
        <v>29</v>
      </c>
      <c r="I23" s="25" t="s">
        <v>27</v>
      </c>
      <c r="J23" s="14" t="s">
        <v>28</v>
      </c>
      <c r="K23" s="14" t="s">
        <v>29</v>
      </c>
      <c r="L23" s="14" t="s">
        <v>27</v>
      </c>
      <c r="M23" s="16"/>
      <c r="N23" s="16"/>
      <c r="O23" s="16"/>
      <c r="P23" s="16">
        <f t="shared" si="2"/>
        <v>21</v>
      </c>
      <c r="Q23" s="16"/>
      <c r="R23" s="16"/>
      <c r="S23" s="16"/>
      <c r="T23" s="16"/>
      <c r="U23" s="16"/>
    </row>
    <row r="24">
      <c r="A24" s="26"/>
      <c r="B24" s="25" t="s">
        <v>32</v>
      </c>
      <c r="C24" s="25" t="s">
        <v>30</v>
      </c>
      <c r="D24" s="25" t="s">
        <v>31</v>
      </c>
      <c r="E24" s="25" t="s">
        <v>32</v>
      </c>
      <c r="F24" s="25" t="s">
        <v>30</v>
      </c>
      <c r="G24" s="25" t="s">
        <v>31</v>
      </c>
      <c r="H24" s="25" t="s">
        <v>32</v>
      </c>
      <c r="I24" s="25" t="s">
        <v>30</v>
      </c>
      <c r="J24" s="14" t="s">
        <v>31</v>
      </c>
      <c r="K24" s="14" t="s">
        <v>32</v>
      </c>
      <c r="L24" s="14" t="s">
        <v>30</v>
      </c>
      <c r="M24" s="16"/>
      <c r="N24" s="16"/>
      <c r="O24" s="16"/>
      <c r="P24" s="16">
        <f t="shared" si="2"/>
        <v>22</v>
      </c>
      <c r="Q24" s="16"/>
      <c r="R24" s="16"/>
      <c r="S24" s="16"/>
      <c r="T24" s="16"/>
      <c r="U24" s="16"/>
    </row>
    <row r="25">
      <c r="A25" s="26"/>
      <c r="B25" s="25" t="s">
        <v>105</v>
      </c>
      <c r="C25" s="25" t="s">
        <v>33</v>
      </c>
      <c r="D25" s="25" t="s">
        <v>35</v>
      </c>
      <c r="E25" s="25" t="s">
        <v>96</v>
      </c>
      <c r="F25" s="25" t="s">
        <v>33</v>
      </c>
      <c r="G25" s="25" t="s">
        <v>35</v>
      </c>
      <c r="H25" s="25" t="s">
        <v>4</v>
      </c>
      <c r="I25" s="25" t="s">
        <v>33</v>
      </c>
      <c r="J25" s="14" t="s">
        <v>35</v>
      </c>
      <c r="K25" s="14" t="s">
        <v>96</v>
      </c>
      <c r="L25" s="14" t="s">
        <v>33</v>
      </c>
      <c r="M25" s="16"/>
      <c r="N25" s="16"/>
      <c r="O25" s="16"/>
      <c r="P25" s="16">
        <f t="shared" si="2"/>
        <v>23</v>
      </c>
      <c r="Q25" s="16"/>
      <c r="R25" s="16"/>
      <c r="S25" s="16"/>
      <c r="T25" s="16"/>
      <c r="U25" s="16"/>
    </row>
    <row r="26">
      <c r="A26" s="26"/>
      <c r="B26" s="25" t="s">
        <v>36</v>
      </c>
      <c r="C26" s="25" t="s">
        <v>37</v>
      </c>
      <c r="D26" s="25" t="s">
        <v>97</v>
      </c>
      <c r="E26" s="25" t="s">
        <v>36</v>
      </c>
      <c r="F26" s="25" t="s">
        <v>37</v>
      </c>
      <c r="G26" s="25" t="s">
        <v>38</v>
      </c>
      <c r="H26" s="25" t="s">
        <v>36</v>
      </c>
      <c r="I26" s="25" t="s">
        <v>37</v>
      </c>
      <c r="J26" s="14" t="s">
        <v>38</v>
      </c>
      <c r="K26" s="14" t="s">
        <v>36</v>
      </c>
      <c r="L26" s="14" t="s">
        <v>37</v>
      </c>
      <c r="M26" s="16"/>
      <c r="N26" s="16"/>
      <c r="O26" s="16"/>
      <c r="P26" s="16">
        <f t="shared" si="2"/>
        <v>24</v>
      </c>
      <c r="Q26" s="16"/>
      <c r="R26" s="16"/>
      <c r="S26" s="16"/>
      <c r="T26" s="16"/>
      <c r="U26" s="16"/>
    </row>
    <row r="27">
      <c r="A27" s="26"/>
      <c r="B27" s="25" t="s">
        <v>40</v>
      </c>
      <c r="C27" s="25" t="s">
        <v>106</v>
      </c>
      <c r="D27" s="25" t="s">
        <v>38</v>
      </c>
      <c r="E27" s="25" t="s">
        <v>40</v>
      </c>
      <c r="F27" s="25" t="s">
        <v>41</v>
      </c>
      <c r="G27" s="25" t="s">
        <v>107</v>
      </c>
      <c r="H27" s="25" t="s">
        <v>40</v>
      </c>
      <c r="I27" s="14" t="s">
        <v>16</v>
      </c>
      <c r="J27" s="14" t="s">
        <v>42</v>
      </c>
      <c r="K27" s="14" t="s">
        <v>40</v>
      </c>
      <c r="L27" s="14" t="s">
        <v>41</v>
      </c>
      <c r="M27" s="16"/>
      <c r="N27" s="16"/>
      <c r="O27" s="16"/>
      <c r="P27" s="16">
        <f t="shared" si="2"/>
        <v>25</v>
      </c>
      <c r="Q27" s="16"/>
      <c r="R27" s="16"/>
      <c r="S27" s="16"/>
      <c r="T27" s="16"/>
      <c r="U27" s="16"/>
    </row>
    <row r="28">
      <c r="A28" s="26"/>
      <c r="B28" s="28"/>
      <c r="C28" s="28"/>
      <c r="D28" s="25" t="s">
        <v>42</v>
      </c>
      <c r="E28" s="25" t="s">
        <v>46</v>
      </c>
      <c r="F28" s="25" t="s">
        <v>44</v>
      </c>
      <c r="G28" s="25" t="s">
        <v>45</v>
      </c>
      <c r="H28" s="25" t="s">
        <v>46</v>
      </c>
      <c r="I28" s="25" t="s">
        <v>44</v>
      </c>
      <c r="J28" s="14" t="s">
        <v>45</v>
      </c>
      <c r="K28" s="14" t="s">
        <v>46</v>
      </c>
      <c r="L28" s="14" t="s">
        <v>44</v>
      </c>
      <c r="M28" s="16"/>
      <c r="N28" s="16"/>
      <c r="O28" s="16"/>
      <c r="P28" s="16">
        <f t="shared" si="2"/>
        <v>26</v>
      </c>
      <c r="Q28" s="16"/>
      <c r="R28" s="16"/>
      <c r="S28" s="16"/>
      <c r="T28" s="16"/>
      <c r="U28" s="16"/>
    </row>
    <row r="29">
      <c r="A29" s="26"/>
      <c r="B29" s="28"/>
      <c r="C29" s="28"/>
      <c r="D29" s="25" t="s">
        <v>45</v>
      </c>
      <c r="E29" s="25" t="s">
        <v>100</v>
      </c>
      <c r="F29" s="25" t="s">
        <v>91</v>
      </c>
      <c r="G29" s="28"/>
      <c r="H29" s="29" t="s">
        <v>49</v>
      </c>
      <c r="I29" s="25" t="s">
        <v>68</v>
      </c>
      <c r="J29" s="14" t="s">
        <v>48</v>
      </c>
      <c r="K29" s="14" t="s">
        <v>49</v>
      </c>
      <c r="L29" s="14" t="s">
        <v>68</v>
      </c>
      <c r="M29" s="16"/>
      <c r="N29" s="16"/>
      <c r="O29" s="16"/>
      <c r="P29" s="16">
        <f t="shared" si="2"/>
        <v>27</v>
      </c>
      <c r="Q29" s="16"/>
      <c r="R29" s="16"/>
      <c r="S29" s="16"/>
      <c r="T29" s="16"/>
      <c r="U29" s="16"/>
    </row>
    <row r="30">
      <c r="A30" s="1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>
        <f t="shared" si="2"/>
        <v>28</v>
      </c>
      <c r="Q30" s="16"/>
      <c r="R30" s="16"/>
      <c r="S30" s="16"/>
      <c r="T30" s="16"/>
      <c r="U30" s="16"/>
    </row>
    <row r="31">
      <c r="A31" s="18" t="s">
        <v>127</v>
      </c>
      <c r="B31" s="14" t="s">
        <v>3</v>
      </c>
      <c r="C31" s="14" t="s">
        <v>4</v>
      </c>
      <c r="D31" s="14" t="s">
        <v>2</v>
      </c>
      <c r="E31" s="14" t="s">
        <v>108</v>
      </c>
      <c r="F31" s="14" t="s">
        <v>4</v>
      </c>
      <c r="G31" s="14" t="s">
        <v>109</v>
      </c>
      <c r="H31" s="14" t="s">
        <v>3</v>
      </c>
      <c r="I31" s="14" t="s">
        <v>71</v>
      </c>
      <c r="J31" s="14" t="s">
        <v>2</v>
      </c>
      <c r="K31" s="14" t="s">
        <v>3</v>
      </c>
      <c r="L31" s="14" t="s">
        <v>4</v>
      </c>
      <c r="M31" s="18"/>
      <c r="N31" s="18" t="s">
        <v>127</v>
      </c>
      <c r="O31" s="16"/>
      <c r="P31" s="16">
        <f t="shared" si="2"/>
        <v>29</v>
      </c>
      <c r="Q31" s="16"/>
      <c r="R31" s="16"/>
      <c r="S31" s="16"/>
      <c r="T31" s="16"/>
      <c r="U31" s="16"/>
    </row>
    <row r="32">
      <c r="A32" s="18" t="s">
        <v>128</v>
      </c>
      <c r="B32" s="14" t="s">
        <v>84</v>
      </c>
      <c r="C32" s="14" t="s">
        <v>9</v>
      </c>
      <c r="D32" s="14" t="s">
        <v>7</v>
      </c>
      <c r="E32" s="14" t="s">
        <v>84</v>
      </c>
      <c r="F32" s="14" t="s">
        <v>9</v>
      </c>
      <c r="G32" s="14" t="s">
        <v>7</v>
      </c>
      <c r="H32" s="14" t="s">
        <v>72</v>
      </c>
      <c r="I32" s="14" t="s">
        <v>9</v>
      </c>
      <c r="J32" s="14" t="s">
        <v>7</v>
      </c>
      <c r="K32" s="14" t="s">
        <v>8</v>
      </c>
      <c r="L32" s="14" t="s">
        <v>9</v>
      </c>
      <c r="M32" s="18"/>
      <c r="N32" s="18" t="s">
        <v>128</v>
      </c>
      <c r="O32" s="16"/>
      <c r="P32" s="16">
        <f t="shared" si="2"/>
        <v>30</v>
      </c>
      <c r="Q32" s="16"/>
      <c r="R32" s="16"/>
      <c r="S32" s="16"/>
      <c r="T32" s="16"/>
      <c r="U32" s="16"/>
    </row>
    <row r="33">
      <c r="A33" s="13"/>
      <c r="B33" s="14" t="s">
        <v>17</v>
      </c>
      <c r="C33" s="14" t="s">
        <v>85</v>
      </c>
      <c r="D33" s="14" t="s">
        <v>58</v>
      </c>
      <c r="E33" s="14" t="s">
        <v>17</v>
      </c>
      <c r="F33" s="14" t="s">
        <v>110</v>
      </c>
      <c r="G33" s="14" t="s">
        <v>58</v>
      </c>
      <c r="H33" s="14" t="s">
        <v>75</v>
      </c>
      <c r="I33" s="14" t="s">
        <v>57</v>
      </c>
      <c r="J33" s="14" t="s">
        <v>58</v>
      </c>
      <c r="K33" s="14" t="s">
        <v>17</v>
      </c>
      <c r="L33" s="14" t="s">
        <v>57</v>
      </c>
      <c r="M33" s="16"/>
      <c r="N33" s="16"/>
      <c r="O33" s="16"/>
      <c r="P33" s="16">
        <f t="shared" si="2"/>
        <v>31</v>
      </c>
      <c r="Q33" s="16"/>
      <c r="R33" s="16"/>
      <c r="S33" s="16"/>
      <c r="T33" s="16"/>
      <c r="U33" s="16"/>
    </row>
    <row r="34">
      <c r="A34" s="18"/>
      <c r="B34" s="14" t="s">
        <v>19</v>
      </c>
      <c r="C34" s="14" t="s">
        <v>61</v>
      </c>
      <c r="D34" s="14" t="s">
        <v>18</v>
      </c>
      <c r="E34" s="14" t="s">
        <v>19</v>
      </c>
      <c r="F34" s="14" t="s">
        <v>61</v>
      </c>
      <c r="G34" s="14" t="s">
        <v>18</v>
      </c>
      <c r="H34" s="14" t="s">
        <v>19</v>
      </c>
      <c r="I34" s="14" t="s">
        <v>61</v>
      </c>
      <c r="J34" s="14" t="s">
        <v>21</v>
      </c>
      <c r="K34" s="14" t="s">
        <v>19</v>
      </c>
      <c r="L34" s="14" t="s">
        <v>61</v>
      </c>
      <c r="M34" s="20"/>
      <c r="N34" s="20" t="s">
        <v>122</v>
      </c>
      <c r="O34" s="21">
        <f>counta(I31:I42)</f>
        <v>12</v>
      </c>
      <c r="P34" s="16">
        <f t="shared" si="2"/>
        <v>32</v>
      </c>
      <c r="Q34" s="16"/>
      <c r="R34" s="16"/>
      <c r="S34" s="16"/>
      <c r="T34" s="16"/>
      <c r="U34" s="16"/>
    </row>
    <row r="35">
      <c r="A35" s="18"/>
      <c r="B35" s="14" t="s">
        <v>23</v>
      </c>
      <c r="C35" s="14" t="s">
        <v>111</v>
      </c>
      <c r="D35" s="14" t="s">
        <v>22</v>
      </c>
      <c r="E35" s="14" t="s">
        <v>23</v>
      </c>
      <c r="F35" s="14" t="s">
        <v>89</v>
      </c>
      <c r="G35" s="14" t="s">
        <v>22</v>
      </c>
      <c r="H35" s="14" t="s">
        <v>23</v>
      </c>
      <c r="I35" s="14" t="s">
        <v>24</v>
      </c>
      <c r="J35" s="14" t="s">
        <v>25</v>
      </c>
      <c r="K35" s="14" t="s">
        <v>23</v>
      </c>
      <c r="L35" s="14" t="s">
        <v>24</v>
      </c>
      <c r="M35" s="20"/>
      <c r="N35" s="20" t="s">
        <v>129</v>
      </c>
      <c r="O35" s="20">
        <v>1.0</v>
      </c>
      <c r="P35" s="16">
        <f t="shared" si="2"/>
        <v>33</v>
      </c>
      <c r="Q35" s="16"/>
      <c r="R35" s="16"/>
      <c r="S35" s="16"/>
      <c r="T35" s="16"/>
      <c r="U35" s="16"/>
    </row>
    <row r="36">
      <c r="A36" s="13"/>
      <c r="B36" s="14" t="s">
        <v>28</v>
      </c>
      <c r="C36" s="14" t="s">
        <v>112</v>
      </c>
      <c r="D36" s="14" t="s">
        <v>27</v>
      </c>
      <c r="E36" s="14" t="s">
        <v>113</v>
      </c>
      <c r="F36" s="14" t="s">
        <v>29</v>
      </c>
      <c r="G36" s="14" t="s">
        <v>27</v>
      </c>
      <c r="H36" s="14" t="s">
        <v>28</v>
      </c>
      <c r="I36" s="14" t="s">
        <v>29</v>
      </c>
      <c r="J36" s="14" t="s">
        <v>27</v>
      </c>
      <c r="K36" s="14" t="s">
        <v>28</v>
      </c>
      <c r="L36" s="14" t="s">
        <v>29</v>
      </c>
      <c r="M36" s="22"/>
      <c r="N36" s="22" t="s">
        <v>124</v>
      </c>
      <c r="O36" s="23">
        <f>O34-O35</f>
        <v>11</v>
      </c>
      <c r="P36" s="16">
        <f t="shared" si="2"/>
        <v>34</v>
      </c>
      <c r="Q36" s="16"/>
      <c r="R36" s="16"/>
      <c r="S36" s="16"/>
      <c r="T36" s="16"/>
      <c r="U36" s="16"/>
    </row>
    <row r="37">
      <c r="A37" s="13"/>
      <c r="B37" s="14" t="s">
        <v>31</v>
      </c>
      <c r="C37" s="14" t="s">
        <v>32</v>
      </c>
      <c r="D37" s="14" t="s">
        <v>30</v>
      </c>
      <c r="E37" s="14" t="s">
        <v>114</v>
      </c>
      <c r="F37" s="14" t="s">
        <v>32</v>
      </c>
      <c r="G37" s="14" t="s">
        <v>30</v>
      </c>
      <c r="H37" s="14" t="s">
        <v>31</v>
      </c>
      <c r="I37" s="14" t="s">
        <v>32</v>
      </c>
      <c r="J37" s="14" t="s">
        <v>30</v>
      </c>
      <c r="K37" s="14" t="s">
        <v>31</v>
      </c>
      <c r="L37" s="14" t="s">
        <v>32</v>
      </c>
      <c r="M37" s="16"/>
      <c r="N37" s="16"/>
      <c r="O37" s="16"/>
      <c r="P37" s="16">
        <f t="shared" si="2"/>
        <v>35</v>
      </c>
      <c r="Q37" s="16"/>
      <c r="R37" s="16"/>
      <c r="S37" s="16"/>
      <c r="T37" s="16"/>
      <c r="U37" s="16"/>
    </row>
    <row r="38">
      <c r="A38" s="13"/>
      <c r="B38" s="14" t="s">
        <v>94</v>
      </c>
      <c r="C38" s="14" t="s">
        <v>95</v>
      </c>
      <c r="D38" s="14" t="s">
        <v>33</v>
      </c>
      <c r="E38" s="14" t="s">
        <v>115</v>
      </c>
      <c r="F38" s="14" t="s">
        <v>96</v>
      </c>
      <c r="G38" s="14" t="s">
        <v>116</v>
      </c>
      <c r="H38" s="14" t="s">
        <v>35</v>
      </c>
      <c r="I38" s="25" t="s">
        <v>79</v>
      </c>
      <c r="J38" s="14" t="s">
        <v>33</v>
      </c>
      <c r="K38" s="14" t="s">
        <v>35</v>
      </c>
      <c r="L38" s="14" t="s">
        <v>96</v>
      </c>
      <c r="M38" s="16"/>
      <c r="N38" s="16"/>
      <c r="O38" s="16"/>
      <c r="P38" s="16">
        <f t="shared" si="2"/>
        <v>36</v>
      </c>
      <c r="Q38" s="16"/>
      <c r="R38" s="16"/>
      <c r="S38" s="16"/>
      <c r="T38" s="16"/>
      <c r="U38" s="16"/>
    </row>
    <row r="39">
      <c r="A39" s="13"/>
      <c r="B39" s="14" t="s">
        <v>97</v>
      </c>
      <c r="C39" s="14" t="s">
        <v>36</v>
      </c>
      <c r="D39" s="14" t="s">
        <v>37</v>
      </c>
      <c r="E39" s="14" t="s">
        <v>38</v>
      </c>
      <c r="F39" s="14" t="s">
        <v>36</v>
      </c>
      <c r="G39" s="14" t="s">
        <v>37</v>
      </c>
      <c r="H39" s="14" t="s">
        <v>38</v>
      </c>
      <c r="I39" s="14" t="s">
        <v>36</v>
      </c>
      <c r="J39" s="14" t="s">
        <v>37</v>
      </c>
      <c r="K39" s="14" t="s">
        <v>38</v>
      </c>
      <c r="L39" s="14" t="s">
        <v>36</v>
      </c>
      <c r="M39" s="16"/>
      <c r="N39" s="16"/>
      <c r="O39" s="16"/>
      <c r="P39" s="16">
        <f t="shared" si="2"/>
        <v>37</v>
      </c>
      <c r="Q39" s="16"/>
      <c r="R39" s="16"/>
      <c r="S39" s="16"/>
      <c r="T39" s="16"/>
      <c r="U39" s="16"/>
    </row>
    <row r="40">
      <c r="A40" s="13"/>
      <c r="B40" s="16"/>
      <c r="C40" s="14" t="s">
        <v>40</v>
      </c>
      <c r="D40" s="14" t="s">
        <v>41</v>
      </c>
      <c r="E40" s="14" t="s">
        <v>42</v>
      </c>
      <c r="F40" s="14" t="s">
        <v>40</v>
      </c>
      <c r="G40" s="14" t="s">
        <v>41</v>
      </c>
      <c r="H40" s="14" t="s">
        <v>42</v>
      </c>
      <c r="I40" s="14" t="s">
        <v>40</v>
      </c>
      <c r="J40" s="14" t="s">
        <v>41</v>
      </c>
      <c r="K40" s="14" t="s">
        <v>42</v>
      </c>
      <c r="L40" s="14" t="s">
        <v>40</v>
      </c>
      <c r="M40" s="16"/>
      <c r="N40" s="16"/>
      <c r="O40" s="16"/>
      <c r="P40" s="16">
        <f t="shared" si="2"/>
        <v>38</v>
      </c>
      <c r="Q40" s="16"/>
      <c r="R40" s="16"/>
      <c r="S40" s="16"/>
      <c r="T40" s="16"/>
      <c r="U40" s="16"/>
    </row>
    <row r="41">
      <c r="A41" s="13"/>
      <c r="B41" s="16"/>
      <c r="C41" s="16"/>
      <c r="D41" s="14" t="s">
        <v>44</v>
      </c>
      <c r="E41" s="14" t="s">
        <v>45</v>
      </c>
      <c r="F41" s="14" t="s">
        <v>117</v>
      </c>
      <c r="G41" s="14" t="s">
        <v>44</v>
      </c>
      <c r="H41" s="14" t="s">
        <v>45</v>
      </c>
      <c r="I41" s="14" t="s">
        <v>46</v>
      </c>
      <c r="J41" s="14" t="s">
        <v>44</v>
      </c>
      <c r="K41" s="14" t="s">
        <v>45</v>
      </c>
      <c r="L41" s="14" t="s">
        <v>46</v>
      </c>
      <c r="M41" s="16"/>
      <c r="N41" s="16"/>
      <c r="O41" s="16"/>
      <c r="P41" s="16">
        <f t="shared" si="2"/>
        <v>39</v>
      </c>
      <c r="Q41" s="16"/>
      <c r="R41" s="16"/>
      <c r="S41" s="16"/>
      <c r="T41" s="16"/>
      <c r="U41" s="16"/>
    </row>
    <row r="42">
      <c r="A42" s="13"/>
      <c r="B42" s="16"/>
      <c r="C42" s="16"/>
      <c r="D42" s="16"/>
      <c r="E42" s="16"/>
      <c r="F42" s="16"/>
      <c r="G42" s="14" t="s">
        <v>24</v>
      </c>
      <c r="H42" s="16"/>
      <c r="I42" s="30" t="s">
        <v>49</v>
      </c>
      <c r="J42" s="14" t="s">
        <v>68</v>
      </c>
      <c r="K42" s="14" t="s">
        <v>48</v>
      </c>
      <c r="L42" s="14" t="s">
        <v>49</v>
      </c>
      <c r="M42" s="16"/>
      <c r="N42" s="16"/>
      <c r="O42" s="16"/>
      <c r="P42" s="16">
        <f t="shared" si="2"/>
        <v>40</v>
      </c>
      <c r="Q42" s="16"/>
      <c r="R42" s="16"/>
      <c r="S42" s="16"/>
      <c r="T42" s="16"/>
      <c r="U42" s="16"/>
    </row>
    <row r="43">
      <c r="A43" s="13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>
        <f t="shared" si="2"/>
        <v>41</v>
      </c>
      <c r="Q43" s="16"/>
      <c r="R43" s="16"/>
      <c r="S43" s="16"/>
      <c r="T43" s="16"/>
      <c r="U43" s="16"/>
    </row>
    <row r="44">
      <c r="A44" s="13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>
        <f t="shared" si="2"/>
        <v>42</v>
      </c>
      <c r="Q44" s="16"/>
      <c r="R44" s="16"/>
      <c r="S44" s="16"/>
      <c r="T44" s="16"/>
      <c r="U44" s="16"/>
    </row>
    <row r="45">
      <c r="A45" s="13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>
        <f t="shared" si="2"/>
        <v>43</v>
      </c>
      <c r="Q45" s="16"/>
      <c r="R45" s="16"/>
      <c r="S45" s="16"/>
      <c r="T45" s="16"/>
      <c r="U45" s="16"/>
    </row>
    <row r="46">
      <c r="A46" s="13"/>
      <c r="B46" s="16"/>
      <c r="C46" s="16"/>
      <c r="D46" s="25" t="s">
        <v>3</v>
      </c>
      <c r="E46" s="14" t="s">
        <v>27</v>
      </c>
      <c r="F46" s="14" t="s">
        <v>3</v>
      </c>
      <c r="G46" s="25" t="s">
        <v>3</v>
      </c>
      <c r="H46" s="14" t="s">
        <v>3</v>
      </c>
      <c r="I46" s="14" t="s">
        <v>3</v>
      </c>
      <c r="J46" s="14" t="s">
        <v>3</v>
      </c>
      <c r="K46" s="14"/>
      <c r="L46" s="16"/>
      <c r="M46" s="16"/>
      <c r="N46" s="16"/>
      <c r="O46" s="16"/>
      <c r="P46" s="16">
        <f t="shared" si="2"/>
        <v>44</v>
      </c>
      <c r="Q46" s="16"/>
      <c r="R46" s="16"/>
      <c r="S46" s="16"/>
      <c r="T46" s="16"/>
      <c r="U46" s="16"/>
    </row>
    <row r="47">
      <c r="A47" s="13"/>
      <c r="B47" s="16"/>
      <c r="C47" s="16"/>
      <c r="D47" s="25" t="s">
        <v>84</v>
      </c>
      <c r="E47" s="14" t="s">
        <v>84</v>
      </c>
      <c r="F47" s="14" t="s">
        <v>84</v>
      </c>
      <c r="G47" s="25" t="s">
        <v>84</v>
      </c>
      <c r="H47" s="14" t="s">
        <v>58</v>
      </c>
      <c r="I47" s="14" t="s">
        <v>8</v>
      </c>
      <c r="J47" s="14" t="s">
        <v>8</v>
      </c>
      <c r="K47" s="14"/>
      <c r="L47" s="16"/>
      <c r="M47" s="16"/>
      <c r="N47" s="16"/>
      <c r="O47" s="16"/>
      <c r="P47" s="16">
        <f t="shared" si="2"/>
        <v>45</v>
      </c>
      <c r="Q47" s="16"/>
      <c r="R47" s="16"/>
      <c r="S47" s="16"/>
      <c r="T47" s="16"/>
      <c r="U47" s="16"/>
    </row>
    <row r="48">
      <c r="A48" s="13"/>
      <c r="B48" s="16"/>
      <c r="C48" s="16"/>
      <c r="D48" s="25" t="s">
        <v>17</v>
      </c>
      <c r="E48" s="14" t="s">
        <v>17</v>
      </c>
      <c r="F48" s="14" t="s">
        <v>46</v>
      </c>
      <c r="G48" s="25" t="s">
        <v>57</v>
      </c>
      <c r="H48" s="14" t="s">
        <v>96</v>
      </c>
      <c r="I48" s="14" t="s">
        <v>96</v>
      </c>
      <c r="J48" s="14" t="s">
        <v>17</v>
      </c>
      <c r="K48" s="14"/>
      <c r="L48" s="16"/>
      <c r="M48" s="16"/>
      <c r="N48" s="16"/>
      <c r="O48" s="16"/>
      <c r="P48" s="16">
        <f t="shared" si="2"/>
        <v>46</v>
      </c>
      <c r="Q48" s="16"/>
      <c r="R48" s="16"/>
      <c r="S48" s="16"/>
      <c r="T48" s="16"/>
      <c r="U48" s="16"/>
    </row>
    <row r="49">
      <c r="A49" s="13"/>
      <c r="B49" s="16"/>
      <c r="C49" s="16"/>
      <c r="D49" s="25" t="s">
        <v>19</v>
      </c>
      <c r="E49" s="14" t="s">
        <v>19</v>
      </c>
      <c r="F49" s="14" t="s">
        <v>19</v>
      </c>
      <c r="G49" s="25" t="s">
        <v>19</v>
      </c>
      <c r="H49" s="14" t="s">
        <v>19</v>
      </c>
      <c r="I49" s="14" t="s">
        <v>19</v>
      </c>
      <c r="J49" s="14" t="s">
        <v>19</v>
      </c>
      <c r="K49" s="14"/>
      <c r="L49" s="16"/>
      <c r="M49" s="16"/>
      <c r="N49" s="16"/>
      <c r="O49" s="16"/>
      <c r="P49" s="16">
        <f t="shared" si="2"/>
        <v>47</v>
      </c>
      <c r="Q49" s="16"/>
      <c r="R49" s="16"/>
      <c r="S49" s="16"/>
      <c r="T49" s="16"/>
      <c r="U49" s="16"/>
    </row>
    <row r="50">
      <c r="A50" s="13"/>
      <c r="B50" s="16"/>
      <c r="C50" s="16"/>
      <c r="D50" s="25" t="s">
        <v>23</v>
      </c>
      <c r="E50" s="14" t="s">
        <v>23</v>
      </c>
      <c r="F50" s="14" t="s">
        <v>57</v>
      </c>
      <c r="G50" s="25" t="s">
        <v>23</v>
      </c>
      <c r="H50" s="14" t="s">
        <v>23</v>
      </c>
      <c r="I50" s="14" t="s">
        <v>23</v>
      </c>
      <c r="J50" s="14" t="s">
        <v>23</v>
      </c>
      <c r="K50" s="14"/>
      <c r="L50" s="16"/>
      <c r="M50" s="16"/>
      <c r="N50" s="16"/>
      <c r="O50" s="16"/>
      <c r="P50" s="16">
        <f t="shared" si="2"/>
        <v>48</v>
      </c>
      <c r="Q50" s="16"/>
      <c r="R50" s="16"/>
      <c r="S50" s="16"/>
      <c r="T50" s="16"/>
      <c r="U50" s="16"/>
    </row>
    <row r="51">
      <c r="A51" s="13"/>
      <c r="B51" s="16"/>
      <c r="C51" s="16"/>
      <c r="D51" s="25" t="s">
        <v>28</v>
      </c>
      <c r="E51" s="14" t="s">
        <v>58</v>
      </c>
      <c r="F51" s="14" t="s">
        <v>28</v>
      </c>
      <c r="G51" s="25" t="s">
        <v>28</v>
      </c>
      <c r="H51" s="14" t="s">
        <v>28</v>
      </c>
      <c r="I51" s="14" t="s">
        <v>28</v>
      </c>
      <c r="J51" s="14" t="s">
        <v>28</v>
      </c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>
      <c r="A52" s="13"/>
      <c r="B52" s="16"/>
      <c r="C52" s="16"/>
      <c r="D52" s="25" t="s">
        <v>31</v>
      </c>
      <c r="E52" s="14" t="s">
        <v>41</v>
      </c>
      <c r="F52" s="14" t="s">
        <v>31</v>
      </c>
      <c r="G52" s="25" t="s">
        <v>31</v>
      </c>
      <c r="H52" s="14" t="s">
        <v>31</v>
      </c>
      <c r="I52" s="14" t="s">
        <v>31</v>
      </c>
      <c r="J52" s="14" t="s">
        <v>31</v>
      </c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>
      <c r="A53" s="13"/>
      <c r="B53" s="16"/>
      <c r="C53" s="16"/>
      <c r="D53" s="25" t="s">
        <v>35</v>
      </c>
      <c r="E53" s="14" t="s">
        <v>7</v>
      </c>
      <c r="F53" s="14" t="s">
        <v>35</v>
      </c>
      <c r="G53" s="25" t="s">
        <v>35</v>
      </c>
      <c r="H53" s="14" t="s">
        <v>35</v>
      </c>
      <c r="I53" s="14" t="s">
        <v>35</v>
      </c>
      <c r="J53" s="14" t="s">
        <v>35</v>
      </c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>
      <c r="A54" s="13"/>
      <c r="B54" s="16"/>
      <c r="C54" s="16"/>
      <c r="D54" s="25" t="s">
        <v>97</v>
      </c>
      <c r="E54" s="14" t="s">
        <v>38</v>
      </c>
      <c r="F54" s="14" t="s">
        <v>38</v>
      </c>
      <c r="G54" s="25" t="s">
        <v>38</v>
      </c>
      <c r="H54" s="14" t="s">
        <v>38</v>
      </c>
      <c r="I54" s="14" t="s">
        <v>38</v>
      </c>
      <c r="J54" s="14" t="s">
        <v>38</v>
      </c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>
      <c r="A55" s="13"/>
      <c r="B55" s="16"/>
      <c r="C55" s="16"/>
      <c r="D55" s="25" t="s">
        <v>38</v>
      </c>
      <c r="E55" s="14" t="s">
        <v>42</v>
      </c>
      <c r="F55" s="14" t="s">
        <v>42</v>
      </c>
      <c r="G55" s="25" t="s">
        <v>33</v>
      </c>
      <c r="H55" s="14" t="s">
        <v>42</v>
      </c>
      <c r="I55" s="14" t="s">
        <v>42</v>
      </c>
      <c r="J55" s="14" t="s">
        <v>42</v>
      </c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>
      <c r="A56" s="13"/>
      <c r="B56" s="16"/>
      <c r="C56" s="16"/>
      <c r="D56" s="25" t="s">
        <v>42</v>
      </c>
      <c r="E56" s="14" t="s">
        <v>45</v>
      </c>
      <c r="F56" s="14" t="s">
        <v>45</v>
      </c>
      <c r="G56" s="25" t="s">
        <v>45</v>
      </c>
      <c r="H56" s="14" t="s">
        <v>45</v>
      </c>
      <c r="I56" s="14" t="s">
        <v>45</v>
      </c>
      <c r="J56" s="14" t="s">
        <v>45</v>
      </c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>
      <c r="A57" s="13"/>
      <c r="B57" s="16"/>
      <c r="C57" s="16"/>
      <c r="D57" s="25" t="s">
        <v>45</v>
      </c>
      <c r="E57" s="16"/>
      <c r="F57" s="16"/>
      <c r="G57" s="16"/>
      <c r="H57" s="16"/>
      <c r="I57" s="14" t="s">
        <v>48</v>
      </c>
      <c r="J57" s="14" t="s">
        <v>48</v>
      </c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>
      <c r="A58" s="13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>
      <c r="A59" s="13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>
      <c r="A60" s="13"/>
      <c r="B60" s="16"/>
      <c r="C60" s="16"/>
      <c r="D60" s="14" t="s">
        <v>2</v>
      </c>
      <c r="E60" s="14" t="s">
        <v>2</v>
      </c>
      <c r="F60" s="25" t="s">
        <v>2</v>
      </c>
      <c r="G60" s="14" t="s">
        <v>2</v>
      </c>
      <c r="H60" s="14" t="s">
        <v>2</v>
      </c>
      <c r="I60" s="25" t="s">
        <v>2</v>
      </c>
      <c r="J60" s="14" t="s">
        <v>2</v>
      </c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>
      <c r="A61" s="13"/>
      <c r="B61" s="16"/>
      <c r="C61" s="16"/>
      <c r="D61" s="14" t="s">
        <v>7</v>
      </c>
      <c r="E61" s="14" t="s">
        <v>35</v>
      </c>
      <c r="F61" s="25" t="s">
        <v>7</v>
      </c>
      <c r="G61" s="14" t="s">
        <v>7</v>
      </c>
      <c r="H61" s="14" t="s">
        <v>7</v>
      </c>
      <c r="I61" s="25" t="s">
        <v>7</v>
      </c>
      <c r="J61" s="14" t="s">
        <v>7</v>
      </c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>
      <c r="A62" s="13"/>
      <c r="B62" s="16"/>
      <c r="C62" s="16"/>
      <c r="D62" s="14" t="s">
        <v>58</v>
      </c>
      <c r="E62" s="14" t="s">
        <v>28</v>
      </c>
      <c r="F62" s="25" t="s">
        <v>58</v>
      </c>
      <c r="G62" s="14" t="s">
        <v>58</v>
      </c>
      <c r="H62" s="14" t="s">
        <v>8</v>
      </c>
      <c r="I62" s="25" t="s">
        <v>58</v>
      </c>
      <c r="J62" s="14" t="s">
        <v>58</v>
      </c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>
      <c r="A63" s="13"/>
      <c r="B63" s="16"/>
      <c r="C63" s="16"/>
      <c r="D63" s="14" t="s">
        <v>18</v>
      </c>
      <c r="E63" s="14" t="s">
        <v>18</v>
      </c>
      <c r="F63" s="25" t="s">
        <v>18</v>
      </c>
      <c r="G63" s="14" t="s">
        <v>18</v>
      </c>
      <c r="H63" s="14" t="s">
        <v>18</v>
      </c>
      <c r="I63" s="25" t="s">
        <v>18</v>
      </c>
      <c r="J63" s="14" t="s">
        <v>21</v>
      </c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>
      <c r="A64" s="13"/>
      <c r="B64" s="16"/>
      <c r="C64" s="16"/>
      <c r="D64" s="14" t="s">
        <v>22</v>
      </c>
      <c r="E64" s="14" t="s">
        <v>22</v>
      </c>
      <c r="F64" s="25" t="s">
        <v>22</v>
      </c>
      <c r="G64" s="14" t="s">
        <v>22</v>
      </c>
      <c r="H64" s="14" t="s">
        <v>22</v>
      </c>
      <c r="I64" s="25" t="s">
        <v>22</v>
      </c>
      <c r="J64" s="14" t="s">
        <v>25</v>
      </c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>
      <c r="A65" s="13"/>
      <c r="B65" s="16"/>
      <c r="C65" s="16"/>
      <c r="D65" s="14" t="s">
        <v>27</v>
      </c>
      <c r="E65" s="14" t="s">
        <v>3</v>
      </c>
      <c r="F65" s="25" t="s">
        <v>104</v>
      </c>
      <c r="G65" s="14" t="s">
        <v>27</v>
      </c>
      <c r="H65" s="14" t="s">
        <v>27</v>
      </c>
      <c r="I65" s="25" t="s">
        <v>27</v>
      </c>
      <c r="J65" s="14" t="s">
        <v>27</v>
      </c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>
      <c r="A66" s="13"/>
      <c r="B66" s="16"/>
      <c r="C66" s="16"/>
      <c r="D66" s="14" t="s">
        <v>30</v>
      </c>
      <c r="E66" s="14" t="s">
        <v>30</v>
      </c>
      <c r="F66" s="25" t="s">
        <v>30</v>
      </c>
      <c r="G66" s="14" t="s">
        <v>30</v>
      </c>
      <c r="H66" s="14" t="s">
        <v>30</v>
      </c>
      <c r="I66" s="25" t="s">
        <v>30</v>
      </c>
      <c r="J66" s="14" t="s">
        <v>30</v>
      </c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>
      <c r="A67" s="13"/>
      <c r="B67" s="16"/>
      <c r="C67" s="16"/>
      <c r="D67" s="14" t="s">
        <v>33</v>
      </c>
      <c r="E67" s="14" t="s">
        <v>33</v>
      </c>
      <c r="F67" s="25" t="s">
        <v>33</v>
      </c>
      <c r="G67" s="14" t="s">
        <v>42</v>
      </c>
      <c r="H67" s="14" t="s">
        <v>33</v>
      </c>
      <c r="I67" s="25" t="s">
        <v>33</v>
      </c>
      <c r="J67" s="14" t="s">
        <v>33</v>
      </c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>
      <c r="A68" s="13"/>
      <c r="B68" s="16"/>
      <c r="C68" s="16"/>
      <c r="D68" s="14" t="s">
        <v>37</v>
      </c>
      <c r="E68" s="14" t="s">
        <v>37</v>
      </c>
      <c r="F68" s="25" t="s">
        <v>37</v>
      </c>
      <c r="G68" s="14" t="s">
        <v>37</v>
      </c>
      <c r="H68" s="14" t="s">
        <v>37</v>
      </c>
      <c r="I68" s="25" t="s">
        <v>37</v>
      </c>
      <c r="J68" s="14" t="s">
        <v>37</v>
      </c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>
      <c r="A69" s="13"/>
      <c r="B69" s="16"/>
      <c r="C69" s="16"/>
      <c r="D69" s="14" t="s">
        <v>41</v>
      </c>
      <c r="E69" s="14" t="s">
        <v>31</v>
      </c>
      <c r="F69" s="25" t="s">
        <v>41</v>
      </c>
      <c r="G69" s="14" t="s">
        <v>41</v>
      </c>
      <c r="H69" s="14" t="s">
        <v>41</v>
      </c>
      <c r="I69" s="14" t="s">
        <v>17</v>
      </c>
      <c r="J69" s="14" t="s">
        <v>41</v>
      </c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>
      <c r="A70" s="13"/>
      <c r="B70" s="16"/>
      <c r="C70" s="16"/>
      <c r="D70" s="14" t="s">
        <v>44</v>
      </c>
      <c r="E70" s="14" t="s">
        <v>44</v>
      </c>
      <c r="F70" s="25" t="s">
        <v>44</v>
      </c>
      <c r="G70" s="14" t="s">
        <v>44</v>
      </c>
      <c r="H70" s="14" t="s">
        <v>44</v>
      </c>
      <c r="I70" s="25" t="s">
        <v>44</v>
      </c>
      <c r="J70" s="14" t="s">
        <v>44</v>
      </c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>
      <c r="A71" s="13"/>
      <c r="B71" s="16"/>
      <c r="C71" s="16"/>
      <c r="D71" s="16"/>
      <c r="E71" s="16"/>
      <c r="F71" s="25" t="s">
        <v>91</v>
      </c>
      <c r="G71" s="14" t="s">
        <v>24</v>
      </c>
      <c r="H71" s="16"/>
      <c r="I71" s="25" t="s">
        <v>68</v>
      </c>
      <c r="J71" s="14" t="s">
        <v>68</v>
      </c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>
      <c r="A72" s="13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>
      <c r="A73" s="13"/>
      <c r="B73" s="16"/>
      <c r="C73" s="16"/>
      <c r="D73" s="14" t="s">
        <v>4</v>
      </c>
      <c r="E73" s="25" t="s">
        <v>4</v>
      </c>
      <c r="F73" s="14" t="s">
        <v>4</v>
      </c>
      <c r="G73" s="14" t="s">
        <v>4</v>
      </c>
      <c r="H73" s="25" t="s">
        <v>17</v>
      </c>
      <c r="I73" s="14" t="s">
        <v>4</v>
      </c>
      <c r="J73" s="14" t="s">
        <v>4</v>
      </c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>
      <c r="A74" s="13"/>
      <c r="B74" s="16"/>
      <c r="C74" s="16"/>
      <c r="D74" s="14" t="s">
        <v>9</v>
      </c>
      <c r="E74" s="25" t="s">
        <v>9</v>
      </c>
      <c r="F74" s="14" t="s">
        <v>9</v>
      </c>
      <c r="G74" s="14" t="s">
        <v>9</v>
      </c>
      <c r="H74" s="25" t="s">
        <v>9</v>
      </c>
      <c r="I74" s="14" t="s">
        <v>9</v>
      </c>
      <c r="J74" s="14" t="s">
        <v>9</v>
      </c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>
      <c r="A75" s="13"/>
      <c r="B75" s="16"/>
      <c r="C75" s="16"/>
      <c r="D75" s="14" t="s">
        <v>85</v>
      </c>
      <c r="E75" s="25" t="s">
        <v>57</v>
      </c>
      <c r="F75" s="14" t="s">
        <v>23</v>
      </c>
      <c r="G75" s="14" t="s">
        <v>17</v>
      </c>
      <c r="H75" s="25" t="s">
        <v>57</v>
      </c>
      <c r="I75" s="14" t="s">
        <v>57</v>
      </c>
      <c r="J75" s="14" t="s">
        <v>57</v>
      </c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>
      <c r="A76" s="13"/>
      <c r="B76" s="16"/>
      <c r="C76" s="16"/>
      <c r="D76" s="14" t="s">
        <v>61</v>
      </c>
      <c r="E76" s="25" t="s">
        <v>61</v>
      </c>
      <c r="F76" s="14" t="s">
        <v>61</v>
      </c>
      <c r="G76" s="14" t="s">
        <v>61</v>
      </c>
      <c r="H76" s="25" t="s">
        <v>61</v>
      </c>
      <c r="I76" s="14" t="s">
        <v>61</v>
      </c>
      <c r="J76" s="14" t="s">
        <v>61</v>
      </c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>
      <c r="A77" s="13"/>
      <c r="B77" s="16"/>
      <c r="C77" s="16"/>
      <c r="D77" s="14" t="s">
        <v>89</v>
      </c>
      <c r="E77" s="25" t="s">
        <v>89</v>
      </c>
      <c r="F77" s="14" t="s">
        <v>89</v>
      </c>
      <c r="G77" s="14" t="s">
        <v>91</v>
      </c>
      <c r="H77" s="25" t="s">
        <v>24</v>
      </c>
      <c r="I77" s="14" t="s">
        <v>24</v>
      </c>
      <c r="J77" s="14" t="s">
        <v>24</v>
      </c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>
      <c r="A78" s="13"/>
      <c r="B78" s="16"/>
      <c r="C78" s="16"/>
      <c r="D78" s="14" t="s">
        <v>29</v>
      </c>
      <c r="E78" s="25" t="s">
        <v>29</v>
      </c>
      <c r="F78" s="14" t="s">
        <v>29</v>
      </c>
      <c r="G78" s="14" t="s">
        <v>29</v>
      </c>
      <c r="H78" s="25" t="s">
        <v>29</v>
      </c>
      <c r="I78" s="14" t="s">
        <v>29</v>
      </c>
      <c r="J78" s="14" t="s">
        <v>29</v>
      </c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>
      <c r="A79" s="13"/>
      <c r="B79" s="16"/>
      <c r="C79" s="16"/>
      <c r="D79" s="14" t="s">
        <v>32</v>
      </c>
      <c r="E79" s="25" t="s">
        <v>32</v>
      </c>
      <c r="F79" s="14" t="s">
        <v>32</v>
      </c>
      <c r="G79" s="14" t="s">
        <v>32</v>
      </c>
      <c r="H79" s="25" t="s">
        <v>32</v>
      </c>
      <c r="I79" s="14" t="s">
        <v>32</v>
      </c>
      <c r="J79" s="14" t="s">
        <v>32</v>
      </c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>
      <c r="A80" s="13"/>
      <c r="B80" s="16"/>
      <c r="C80" s="16"/>
      <c r="D80" s="14" t="s">
        <v>95</v>
      </c>
      <c r="E80" s="25" t="s">
        <v>96</v>
      </c>
      <c r="F80" s="14" t="s">
        <v>96</v>
      </c>
      <c r="G80" s="14" t="s">
        <v>96</v>
      </c>
      <c r="H80" s="25" t="s">
        <v>4</v>
      </c>
      <c r="I80" s="25" t="s">
        <v>41</v>
      </c>
      <c r="J80" s="14" t="s">
        <v>96</v>
      </c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>
      <c r="A81" s="13"/>
      <c r="B81" s="16"/>
      <c r="C81" s="16"/>
      <c r="D81" s="14" t="s">
        <v>36</v>
      </c>
      <c r="E81" s="25" t="s">
        <v>36</v>
      </c>
      <c r="F81" s="14" t="s">
        <v>36</v>
      </c>
      <c r="G81" s="14" t="s">
        <v>36</v>
      </c>
      <c r="H81" s="25" t="s">
        <v>36</v>
      </c>
      <c r="I81" s="14" t="s">
        <v>36</v>
      </c>
      <c r="J81" s="14" t="s">
        <v>36</v>
      </c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>
      <c r="A82" s="13"/>
      <c r="B82" s="16"/>
      <c r="C82" s="16"/>
      <c r="D82" s="14" t="s">
        <v>40</v>
      </c>
      <c r="E82" s="25" t="s">
        <v>40</v>
      </c>
      <c r="F82" s="14" t="s">
        <v>40</v>
      </c>
      <c r="G82" s="14" t="s">
        <v>40</v>
      </c>
      <c r="H82" s="25" t="s">
        <v>40</v>
      </c>
      <c r="I82" s="14" t="s">
        <v>40</v>
      </c>
      <c r="J82" s="14" t="s">
        <v>40</v>
      </c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>
      <c r="A83" s="13"/>
      <c r="B83" s="16"/>
      <c r="C83" s="16"/>
      <c r="D83" s="14" t="s">
        <v>46</v>
      </c>
      <c r="E83" s="25" t="s">
        <v>46</v>
      </c>
      <c r="F83" s="14" t="s">
        <v>17</v>
      </c>
      <c r="G83" s="14" t="s">
        <v>46</v>
      </c>
      <c r="H83" s="25" t="s">
        <v>46</v>
      </c>
      <c r="I83" s="14" t="s">
        <v>46</v>
      </c>
      <c r="J83" s="14" t="s">
        <v>46</v>
      </c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>
      <c r="A84" s="13"/>
      <c r="B84" s="16"/>
      <c r="C84" s="16"/>
      <c r="D84" s="14" t="s">
        <v>100</v>
      </c>
      <c r="E84" s="25" t="s">
        <v>100</v>
      </c>
      <c r="F84" s="16"/>
      <c r="G84" s="14" t="s">
        <v>49</v>
      </c>
      <c r="H84" s="29" t="s">
        <v>49</v>
      </c>
      <c r="I84" s="30" t="s">
        <v>49</v>
      </c>
      <c r="J84" s="14" t="s">
        <v>49</v>
      </c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>
      <c r="A85" s="13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>
      <c r="A86" s="13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>
      <c r="A87" s="13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>
      <c r="A88" s="13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>
      <c r="A89" s="13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>
      <c r="A90" s="13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>
      <c r="A91" s="13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>
      <c r="A92" s="13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>
      <c r="A93" s="13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>
      <c r="A94" s="13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>
      <c r="A95" s="13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>
      <c r="A96" s="13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>
      <c r="A97" s="13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>
      <c r="A98" s="13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>
      <c r="A99" s="13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>
      <c r="A100" s="13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>
      <c r="A101" s="13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>
      <c r="A102" s="13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>
      <c r="A103" s="13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>
      <c r="A104" s="13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>
      <c r="A105" s="13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>
      <c r="A106" s="1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>
      <c r="A107" s="13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>
      <c r="A108" s="13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>
      <c r="A109" s="13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>
      <c r="A110" s="13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>
      <c r="A111" s="13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>
      <c r="A112" s="13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>
      <c r="A113" s="13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>
      <c r="A114" s="13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>
      <c r="A115" s="13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>
      <c r="A116" s="13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>
      <c r="A117" s="13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>
      <c r="A118" s="13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>
      <c r="A119" s="13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>
      <c r="A120" s="13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>
      <c r="A121" s="13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>
      <c r="A122" s="13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>
      <c r="A123" s="13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>
      <c r="A124" s="13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>
      <c r="A125" s="13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>
      <c r="A126" s="13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>
      <c r="A127" s="13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>
      <c r="A128" s="13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>
      <c r="A129" s="13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>
      <c r="A130" s="13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>
      <c r="A131" s="13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>
      <c r="A132" s="13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>
      <c r="A133" s="13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>
      <c r="A134" s="13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>
      <c r="A135" s="13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>
      <c r="A136" s="13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>
      <c r="A137" s="13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>
      <c r="A138" s="13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>
      <c r="A139" s="13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>
      <c r="A140" s="13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>
      <c r="A141" s="13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>
      <c r="A142" s="13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>
      <c r="A143" s="13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>
      <c r="A144" s="13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>
      <c r="A145" s="13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>
      <c r="A146" s="13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>
      <c r="A147" s="13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>
      <c r="A148" s="13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>
      <c r="A149" s="13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>
      <c r="A150" s="13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>
      <c r="A151" s="13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>
      <c r="A152" s="13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>
      <c r="A153" s="13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>
      <c r="A154" s="13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>
      <c r="A155" s="13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>
      <c r="A156" s="13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>
      <c r="A157" s="13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>
      <c r="A158" s="13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>
      <c r="A159" s="13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>
      <c r="A160" s="13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>
      <c r="A161" s="13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>
      <c r="A162" s="13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>
      <c r="A163" s="13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>
      <c r="A164" s="13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>
      <c r="A165" s="13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>
      <c r="A166" s="13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>
      <c r="A167" s="13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>
      <c r="A168" s="13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>
      <c r="A169" s="13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>
      <c r="A170" s="13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>
      <c r="A171" s="13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>
      <c r="A172" s="13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>
      <c r="A173" s="13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>
      <c r="A174" s="13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>
      <c r="A175" s="13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>
      <c r="A176" s="13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>
      <c r="A177" s="13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>
      <c r="A178" s="13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>
      <c r="A179" s="13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>
      <c r="A180" s="13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>
      <c r="A181" s="13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>
      <c r="A182" s="13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>
      <c r="A183" s="13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>
      <c r="A184" s="13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>
      <c r="A185" s="13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>
      <c r="A186" s="13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>
      <c r="A187" s="13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>
      <c r="A188" s="13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>
      <c r="A189" s="13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>
      <c r="A190" s="13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>
      <c r="A191" s="13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>
      <c r="A192" s="13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>
      <c r="A193" s="13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>
      <c r="A194" s="13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>
      <c r="A195" s="13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>
      <c r="A196" s="13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>
      <c r="A197" s="13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>
      <c r="A198" s="13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>
      <c r="A199" s="13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>
      <c r="A200" s="13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>
      <c r="A201" s="13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>
      <c r="A202" s="13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>
      <c r="A203" s="13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>
      <c r="A204" s="13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>
      <c r="A205" s="13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>
      <c r="A206" s="13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>
      <c r="A207" s="13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>
      <c r="A208" s="13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>
      <c r="A209" s="13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>
      <c r="A210" s="13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>
      <c r="A211" s="13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>
      <c r="A212" s="13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>
      <c r="A213" s="13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>
      <c r="A214" s="13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>
      <c r="A215" s="13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>
      <c r="A216" s="13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>
      <c r="A217" s="13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>
      <c r="A218" s="13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>
      <c r="A219" s="13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>
      <c r="A220" s="13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>
      <c r="A221" s="13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>
      <c r="A222" s="13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>
      <c r="A223" s="13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>
      <c r="A224" s="13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>
      <c r="A225" s="13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>
      <c r="A226" s="13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>
      <c r="A227" s="13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>
      <c r="A228" s="13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>
      <c r="A229" s="13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>
      <c r="A230" s="13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>
      <c r="A231" s="13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>
      <c r="A232" s="13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>
      <c r="A233" s="13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>
      <c r="A234" s="13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>
      <c r="A235" s="13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>
      <c r="A236" s="13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>
      <c r="A237" s="13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>
      <c r="A238" s="13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>
      <c r="A239" s="13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>
      <c r="A240" s="13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>
      <c r="A241" s="13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>
      <c r="A242" s="13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>
      <c r="A243" s="13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>
      <c r="A244" s="13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>
      <c r="A245" s="13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>
      <c r="A246" s="13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>
      <c r="A247" s="13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>
      <c r="A248" s="13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>
      <c r="A249" s="13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>
      <c r="A250" s="13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>
      <c r="A251" s="13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>
      <c r="A252" s="13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>
      <c r="A253" s="13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>
      <c r="A254" s="13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>
      <c r="A255" s="13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>
      <c r="A256" s="13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>
      <c r="A257" s="13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>
      <c r="A258" s="13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>
      <c r="A259" s="13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>
      <c r="A260" s="13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>
      <c r="A261" s="13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>
      <c r="A262" s="13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>
      <c r="A263" s="13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>
      <c r="A264" s="13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>
      <c r="A265" s="13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>
      <c r="A266" s="13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>
      <c r="A267" s="13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>
      <c r="A268" s="13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>
      <c r="A269" s="13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>
      <c r="A270" s="13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>
      <c r="A271" s="13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>
      <c r="A272" s="13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>
      <c r="A273" s="13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>
      <c r="A274" s="13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>
      <c r="A275" s="13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>
      <c r="A276" s="13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>
      <c r="A277" s="13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>
      <c r="A278" s="13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>
      <c r="A279" s="13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>
      <c r="A280" s="13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>
      <c r="A281" s="13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>
      <c r="A282" s="13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>
      <c r="A283" s="13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>
      <c r="A284" s="13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>
      <c r="A285" s="13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>
      <c r="A286" s="13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>
      <c r="A287" s="13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>
      <c r="A288" s="13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>
      <c r="A289" s="13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>
      <c r="A290" s="13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>
      <c r="A291" s="13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>
      <c r="A292" s="13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>
      <c r="A293" s="13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>
      <c r="A294" s="13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>
      <c r="A295" s="13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>
      <c r="A296" s="13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>
      <c r="A297" s="13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>
      <c r="A298" s="13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>
      <c r="A299" s="13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>
      <c r="A300" s="13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>
      <c r="A301" s="13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>
      <c r="A302" s="13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>
      <c r="A303" s="13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>
      <c r="A304" s="13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>
      <c r="A305" s="13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>
      <c r="A306" s="13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>
      <c r="A307" s="13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>
      <c r="A308" s="13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>
      <c r="A309" s="13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>
      <c r="A310" s="13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>
      <c r="A311" s="13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>
      <c r="A312" s="13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>
      <c r="A313" s="13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>
      <c r="A314" s="13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>
      <c r="A315" s="13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>
      <c r="A316" s="13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>
      <c r="A317" s="13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>
      <c r="A318" s="13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>
      <c r="A319" s="13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>
      <c r="A320" s="13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>
      <c r="A321" s="13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>
      <c r="A322" s="13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>
      <c r="A323" s="13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>
      <c r="A324" s="13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>
      <c r="A325" s="13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>
      <c r="A326" s="13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>
      <c r="A327" s="13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>
      <c r="A328" s="13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>
      <c r="A329" s="13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>
      <c r="A330" s="13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>
      <c r="A331" s="13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>
      <c r="A332" s="13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>
      <c r="A333" s="13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>
      <c r="A334" s="13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>
      <c r="A335" s="13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>
      <c r="A336" s="13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>
      <c r="A337" s="13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>
      <c r="A338" s="13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>
      <c r="A339" s="13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>
      <c r="A340" s="13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>
      <c r="A341" s="13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>
      <c r="A342" s="13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>
      <c r="A343" s="13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>
      <c r="A344" s="13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>
      <c r="A345" s="13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>
      <c r="A346" s="13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>
      <c r="A347" s="13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>
      <c r="A348" s="13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>
      <c r="A349" s="13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>
      <c r="A350" s="13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>
      <c r="A351" s="13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>
      <c r="A352" s="13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>
      <c r="A353" s="13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>
      <c r="A354" s="13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>
      <c r="A355" s="13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>
      <c r="A356" s="13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>
      <c r="A357" s="13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>
      <c r="A358" s="13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>
      <c r="A359" s="13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>
      <c r="A360" s="13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>
      <c r="A361" s="13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>
      <c r="A362" s="13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>
      <c r="A363" s="13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>
      <c r="A364" s="13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>
      <c r="A365" s="13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>
      <c r="A366" s="13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>
      <c r="A367" s="13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>
      <c r="A368" s="13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>
      <c r="A369" s="13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>
      <c r="A370" s="13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>
      <c r="A371" s="13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>
      <c r="A372" s="13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>
      <c r="A373" s="13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>
      <c r="A374" s="13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>
      <c r="A375" s="13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>
      <c r="A376" s="13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>
      <c r="A377" s="13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>
      <c r="A378" s="13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>
      <c r="A379" s="13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>
      <c r="A380" s="13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>
      <c r="A381" s="13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>
      <c r="A382" s="13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>
      <c r="A383" s="13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>
      <c r="A384" s="13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>
      <c r="A385" s="13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>
      <c r="A386" s="13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>
      <c r="A387" s="13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>
      <c r="A388" s="13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>
      <c r="A389" s="13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>
      <c r="A390" s="13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>
      <c r="A391" s="13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>
      <c r="A392" s="13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>
      <c r="A393" s="13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>
      <c r="A394" s="13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>
      <c r="A395" s="13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>
      <c r="A396" s="13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>
      <c r="A397" s="13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>
      <c r="A398" s="13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>
      <c r="A399" s="13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>
      <c r="A400" s="13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>
      <c r="A401" s="13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>
      <c r="A402" s="13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>
      <c r="A403" s="13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>
      <c r="A404" s="13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>
      <c r="A405" s="13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>
      <c r="A406" s="13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>
      <c r="A407" s="13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>
      <c r="A408" s="13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>
      <c r="A409" s="13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>
      <c r="A410" s="13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>
      <c r="A411" s="13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>
      <c r="A412" s="13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>
      <c r="A413" s="13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>
      <c r="A414" s="13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>
      <c r="A415" s="13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>
      <c r="A416" s="13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>
      <c r="A417" s="13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>
      <c r="A418" s="13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>
      <c r="A419" s="13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>
      <c r="A420" s="13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>
      <c r="A421" s="13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>
      <c r="A422" s="13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>
      <c r="A423" s="13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>
      <c r="A424" s="13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>
      <c r="A425" s="13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>
      <c r="A426" s="13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>
      <c r="A427" s="13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>
      <c r="A428" s="13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>
      <c r="A429" s="13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>
      <c r="A430" s="13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>
      <c r="A431" s="13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>
      <c r="A432" s="13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>
      <c r="A433" s="13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>
      <c r="A434" s="13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>
      <c r="A435" s="13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>
      <c r="A436" s="13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>
      <c r="A437" s="13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>
      <c r="A438" s="13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>
      <c r="A439" s="13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>
      <c r="A440" s="13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>
      <c r="A441" s="13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>
      <c r="A442" s="13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>
      <c r="A443" s="13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>
      <c r="A444" s="13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>
      <c r="A445" s="13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>
      <c r="A446" s="13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>
      <c r="A447" s="13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>
      <c r="A448" s="13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>
      <c r="A449" s="13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>
      <c r="A450" s="13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>
      <c r="A451" s="13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>
      <c r="A452" s="13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>
      <c r="A453" s="13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>
      <c r="A454" s="13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>
      <c r="A455" s="13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>
      <c r="A456" s="13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>
      <c r="A457" s="13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>
      <c r="A458" s="13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>
      <c r="A459" s="13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>
      <c r="A460" s="13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>
      <c r="A461" s="13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>
      <c r="A462" s="13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>
      <c r="A463" s="13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>
      <c r="A464" s="13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>
      <c r="A465" s="13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>
      <c r="A466" s="13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>
      <c r="A467" s="13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>
      <c r="A468" s="13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>
      <c r="A469" s="13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>
      <c r="A470" s="13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>
      <c r="A471" s="13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>
      <c r="A472" s="13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>
      <c r="A473" s="13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>
      <c r="A474" s="13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>
      <c r="A475" s="13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>
      <c r="A476" s="13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>
      <c r="A477" s="13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>
      <c r="A478" s="13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>
      <c r="A479" s="13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>
      <c r="A480" s="13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>
      <c r="A481" s="13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>
      <c r="A482" s="13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>
      <c r="A483" s="13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>
      <c r="A484" s="13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>
      <c r="A485" s="13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>
      <c r="A486" s="13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>
      <c r="A487" s="13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>
      <c r="A488" s="13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>
      <c r="A489" s="13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>
      <c r="A490" s="13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>
      <c r="A491" s="13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>
      <c r="A492" s="13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>
      <c r="A493" s="13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>
      <c r="A494" s="13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>
      <c r="A495" s="13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>
      <c r="A496" s="13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>
      <c r="A497" s="13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>
      <c r="A498" s="13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>
      <c r="A499" s="13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>
      <c r="A500" s="13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>
      <c r="A501" s="13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>
      <c r="A502" s="13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>
      <c r="A503" s="13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>
      <c r="A504" s="13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>
      <c r="A505" s="13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>
      <c r="A506" s="13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>
      <c r="A507" s="13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>
      <c r="A508" s="13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>
      <c r="A509" s="13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>
      <c r="A510" s="13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>
      <c r="A511" s="13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>
      <c r="A512" s="13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>
      <c r="A513" s="13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>
      <c r="A514" s="13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>
      <c r="A515" s="13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>
      <c r="A516" s="13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>
      <c r="A517" s="13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>
      <c r="A518" s="13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>
      <c r="A519" s="13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>
      <c r="A520" s="13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>
      <c r="A521" s="13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>
      <c r="A522" s="13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>
      <c r="A523" s="13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>
      <c r="A524" s="13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>
      <c r="A525" s="13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>
      <c r="A526" s="13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>
      <c r="A527" s="13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>
      <c r="A528" s="13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>
      <c r="A529" s="13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>
      <c r="A530" s="13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>
      <c r="A531" s="13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>
      <c r="A532" s="13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>
      <c r="A533" s="13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>
      <c r="A534" s="13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>
      <c r="A535" s="13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>
      <c r="A536" s="13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>
      <c r="A537" s="13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>
      <c r="A538" s="13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>
      <c r="A539" s="13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>
      <c r="A540" s="13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>
      <c r="A541" s="13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>
      <c r="A542" s="13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>
      <c r="A543" s="13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>
      <c r="A544" s="13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>
      <c r="A545" s="13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>
      <c r="A546" s="13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>
      <c r="A547" s="13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>
      <c r="A548" s="13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>
      <c r="A549" s="13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>
      <c r="A550" s="13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>
      <c r="A551" s="13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>
      <c r="A552" s="13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>
      <c r="A553" s="13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>
      <c r="A554" s="13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>
      <c r="A555" s="13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>
      <c r="A556" s="13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>
      <c r="A557" s="13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>
      <c r="A558" s="13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>
      <c r="A559" s="13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>
      <c r="A560" s="13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>
      <c r="A561" s="13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>
      <c r="A562" s="13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>
      <c r="A563" s="13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>
      <c r="A564" s="13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>
      <c r="A565" s="13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>
      <c r="A566" s="13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>
      <c r="A567" s="13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>
      <c r="A568" s="13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>
      <c r="A569" s="13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>
      <c r="A570" s="13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>
      <c r="A571" s="13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>
      <c r="A572" s="13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>
      <c r="A573" s="13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>
      <c r="A574" s="13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>
      <c r="A575" s="13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>
      <c r="A576" s="13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>
      <c r="A577" s="13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>
      <c r="A578" s="13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>
      <c r="A579" s="13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>
      <c r="A580" s="13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>
      <c r="A581" s="13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>
      <c r="A582" s="13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>
      <c r="A583" s="13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>
      <c r="A584" s="13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>
      <c r="A585" s="13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>
      <c r="A586" s="13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>
      <c r="A587" s="13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>
      <c r="A588" s="13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>
      <c r="A589" s="13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>
      <c r="A590" s="13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>
      <c r="A591" s="13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>
      <c r="A592" s="13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>
      <c r="A593" s="13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>
      <c r="A594" s="13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>
      <c r="A595" s="13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>
      <c r="A596" s="13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>
      <c r="A597" s="13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>
      <c r="A598" s="13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>
      <c r="A599" s="13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>
      <c r="A600" s="13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>
      <c r="A601" s="13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>
      <c r="A602" s="13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>
      <c r="A603" s="13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>
      <c r="A604" s="13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>
      <c r="A605" s="13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>
      <c r="A606" s="13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>
      <c r="A607" s="13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>
      <c r="A608" s="13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>
      <c r="A609" s="13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>
      <c r="A610" s="13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>
      <c r="A611" s="13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>
      <c r="A612" s="13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>
      <c r="A613" s="13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>
      <c r="A614" s="13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>
      <c r="A615" s="13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>
      <c r="A616" s="13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>
      <c r="A617" s="13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>
      <c r="A618" s="13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>
      <c r="A619" s="13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>
      <c r="A620" s="13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>
      <c r="A621" s="13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>
      <c r="A622" s="13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>
      <c r="A623" s="13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>
      <c r="A624" s="13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>
      <c r="A625" s="13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>
      <c r="A626" s="13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>
      <c r="A627" s="13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>
      <c r="A628" s="13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>
      <c r="A629" s="13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>
      <c r="A630" s="13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>
      <c r="A631" s="13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>
      <c r="A632" s="13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>
      <c r="A633" s="13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>
      <c r="A634" s="13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>
      <c r="A635" s="13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>
      <c r="A636" s="13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>
      <c r="A637" s="13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>
      <c r="A638" s="13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>
      <c r="A639" s="13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>
      <c r="A640" s="13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>
      <c r="A641" s="13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>
      <c r="A642" s="13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>
      <c r="A643" s="13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>
      <c r="A644" s="13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>
      <c r="A645" s="13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>
      <c r="A646" s="13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>
      <c r="A647" s="13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>
      <c r="A648" s="13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>
      <c r="A649" s="13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>
      <c r="A650" s="13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>
      <c r="A651" s="13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>
      <c r="A652" s="13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>
      <c r="A653" s="13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>
      <c r="A654" s="13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>
      <c r="A655" s="13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>
      <c r="A656" s="13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>
      <c r="A657" s="13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>
      <c r="A658" s="13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>
      <c r="A659" s="13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>
      <c r="A660" s="13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>
      <c r="A661" s="13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>
      <c r="A662" s="13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>
      <c r="A663" s="13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>
      <c r="A664" s="13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>
      <c r="A665" s="13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>
      <c r="A666" s="13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>
      <c r="A667" s="13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>
      <c r="A668" s="13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>
      <c r="A669" s="13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>
      <c r="A670" s="13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>
      <c r="A671" s="13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>
      <c r="A672" s="13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>
      <c r="A673" s="13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>
      <c r="A674" s="13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>
      <c r="A675" s="13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>
      <c r="A676" s="13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>
      <c r="A677" s="13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>
      <c r="A678" s="13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>
      <c r="A679" s="13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>
      <c r="A680" s="13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>
      <c r="A681" s="13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>
      <c r="A682" s="13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>
      <c r="A683" s="13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>
      <c r="A684" s="13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>
      <c r="A685" s="13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>
      <c r="A686" s="13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>
      <c r="A687" s="13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>
      <c r="A688" s="13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>
      <c r="A689" s="13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>
      <c r="A690" s="13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>
      <c r="A691" s="13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>
      <c r="A692" s="13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>
      <c r="A693" s="13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>
      <c r="A694" s="13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>
      <c r="A695" s="13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>
      <c r="A696" s="13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>
      <c r="A697" s="13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>
      <c r="A698" s="13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>
      <c r="A699" s="13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>
      <c r="A700" s="13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>
      <c r="A701" s="13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>
      <c r="A702" s="13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>
      <c r="A703" s="13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>
      <c r="A704" s="13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>
      <c r="A705" s="13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>
      <c r="A706" s="13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>
      <c r="A707" s="13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>
      <c r="A708" s="13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>
      <c r="A709" s="13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>
      <c r="A710" s="13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>
      <c r="A711" s="13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>
      <c r="A712" s="13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>
      <c r="A713" s="13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>
      <c r="A714" s="13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>
      <c r="A715" s="13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>
      <c r="A716" s="13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>
      <c r="A717" s="13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>
      <c r="A718" s="13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>
      <c r="A719" s="13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>
      <c r="A720" s="13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>
      <c r="A721" s="13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>
      <c r="A722" s="13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>
      <c r="A723" s="13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>
      <c r="A724" s="13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>
      <c r="A725" s="13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>
      <c r="A726" s="13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>
      <c r="A727" s="13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>
      <c r="A728" s="13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>
      <c r="A729" s="13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>
      <c r="A730" s="13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>
      <c r="A731" s="13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>
      <c r="A732" s="13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>
      <c r="A733" s="13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>
      <c r="A734" s="13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>
      <c r="A735" s="13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>
      <c r="A736" s="13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>
      <c r="A737" s="13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>
      <c r="A738" s="13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>
      <c r="A739" s="13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>
      <c r="A740" s="13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>
      <c r="A741" s="13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>
      <c r="A742" s="13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>
      <c r="A743" s="13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>
      <c r="A744" s="13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>
      <c r="A745" s="13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>
      <c r="A746" s="13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>
      <c r="A747" s="13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>
      <c r="A748" s="13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>
      <c r="A749" s="13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>
      <c r="A750" s="13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>
      <c r="A751" s="13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>
      <c r="A752" s="13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>
      <c r="A753" s="13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>
      <c r="A754" s="13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>
      <c r="A755" s="13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>
      <c r="A756" s="13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>
      <c r="A757" s="13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>
      <c r="A758" s="13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>
      <c r="A759" s="13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>
      <c r="A760" s="13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>
      <c r="A761" s="13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>
      <c r="A762" s="13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>
      <c r="A763" s="13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>
      <c r="A764" s="13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>
      <c r="A765" s="13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>
      <c r="A766" s="13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>
      <c r="A767" s="13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>
      <c r="A768" s="13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>
      <c r="A769" s="13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>
      <c r="A770" s="13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>
      <c r="A771" s="13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>
      <c r="A772" s="13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>
      <c r="A773" s="13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>
      <c r="A774" s="13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>
      <c r="A775" s="13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>
      <c r="A776" s="13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>
      <c r="A777" s="13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>
      <c r="A778" s="13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>
      <c r="A779" s="13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>
      <c r="A780" s="13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>
      <c r="A781" s="13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>
      <c r="A782" s="13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>
      <c r="A783" s="13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>
      <c r="A784" s="13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>
      <c r="A785" s="13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>
      <c r="A786" s="13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>
      <c r="A787" s="13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>
      <c r="A788" s="13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>
      <c r="A789" s="13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>
      <c r="A790" s="13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>
      <c r="A791" s="13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>
      <c r="A792" s="13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>
      <c r="A793" s="13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>
      <c r="A794" s="13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>
      <c r="A795" s="13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>
      <c r="A796" s="13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>
      <c r="A797" s="13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>
      <c r="A798" s="13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>
      <c r="A799" s="13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>
      <c r="A800" s="13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>
      <c r="A801" s="13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>
      <c r="A802" s="13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>
      <c r="A803" s="13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>
      <c r="A804" s="13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>
      <c r="A805" s="13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>
      <c r="A806" s="13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>
      <c r="A807" s="13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>
      <c r="A808" s="13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>
      <c r="A809" s="13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>
      <c r="A810" s="13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>
      <c r="A811" s="13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>
      <c r="A812" s="13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>
      <c r="A813" s="13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>
      <c r="A814" s="13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>
      <c r="A815" s="13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>
      <c r="A816" s="13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>
      <c r="A817" s="13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>
      <c r="A818" s="13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>
      <c r="A819" s="13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>
      <c r="A820" s="13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>
      <c r="A821" s="13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>
      <c r="A822" s="13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>
      <c r="A823" s="13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>
      <c r="A824" s="13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>
      <c r="A825" s="13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>
      <c r="A826" s="13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>
      <c r="A827" s="13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>
      <c r="A828" s="13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>
      <c r="A829" s="13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>
      <c r="A830" s="13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>
      <c r="A831" s="13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>
      <c r="A832" s="13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>
      <c r="A833" s="13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>
      <c r="A834" s="13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>
      <c r="A835" s="13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>
      <c r="A836" s="13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>
      <c r="A837" s="13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>
      <c r="A838" s="13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>
      <c r="A839" s="13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>
      <c r="A840" s="13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>
      <c r="A841" s="13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>
      <c r="A842" s="13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>
      <c r="A843" s="13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>
      <c r="A844" s="13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>
      <c r="A845" s="13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>
      <c r="A846" s="13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>
      <c r="A847" s="13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>
      <c r="A848" s="13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>
      <c r="A849" s="13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>
      <c r="A850" s="13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>
      <c r="A851" s="13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>
      <c r="A852" s="13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>
      <c r="A853" s="13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>
      <c r="A854" s="13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>
      <c r="A855" s="13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>
      <c r="A856" s="13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>
      <c r="A857" s="13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>
      <c r="A858" s="13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>
      <c r="A859" s="13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>
      <c r="A860" s="13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>
      <c r="A861" s="13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>
      <c r="A862" s="13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>
      <c r="A863" s="13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>
      <c r="A864" s="13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>
      <c r="A865" s="13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>
      <c r="A866" s="13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>
      <c r="A867" s="13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>
      <c r="A868" s="13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>
      <c r="A869" s="13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>
      <c r="A870" s="13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>
      <c r="A871" s="13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>
      <c r="A872" s="13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>
      <c r="A873" s="13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>
      <c r="A874" s="13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>
      <c r="A875" s="13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>
      <c r="A876" s="13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>
      <c r="A877" s="13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>
      <c r="A878" s="13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>
      <c r="A879" s="13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>
      <c r="A880" s="13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>
      <c r="A881" s="13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>
      <c r="A882" s="13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>
      <c r="A883" s="13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>
      <c r="A884" s="13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>
      <c r="A885" s="13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>
      <c r="A886" s="13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>
      <c r="A887" s="13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>
      <c r="A888" s="13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>
      <c r="A889" s="13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>
      <c r="A890" s="13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>
      <c r="A891" s="13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>
      <c r="A892" s="13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>
      <c r="A893" s="13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>
      <c r="A894" s="13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>
      <c r="A895" s="13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>
      <c r="A896" s="13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>
      <c r="A897" s="13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>
      <c r="A898" s="13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>
      <c r="A899" s="13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>
      <c r="A900" s="13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>
      <c r="A901" s="13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>
      <c r="A902" s="13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>
      <c r="A903" s="13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>
      <c r="A904" s="13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>
      <c r="A905" s="13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>
      <c r="A906" s="13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>
      <c r="A907" s="13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>
      <c r="A908" s="13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>
      <c r="A909" s="13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>
      <c r="A910" s="13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>
      <c r="A911" s="13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>
      <c r="A912" s="13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>
      <c r="A913" s="13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>
      <c r="A914" s="13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>
      <c r="A915" s="13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>
      <c r="A916" s="13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>
      <c r="A917" s="13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>
      <c r="A918" s="13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>
      <c r="A919" s="13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>
      <c r="A920" s="13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>
      <c r="A921" s="13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>
      <c r="A922" s="13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>
      <c r="A923" s="13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>
      <c r="A924" s="13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>
      <c r="A925" s="13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>
      <c r="A926" s="13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>
      <c r="A927" s="13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>
      <c r="A928" s="13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>
      <c r="A929" s="13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>
      <c r="A930" s="13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>
      <c r="A931" s="13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>
      <c r="A932" s="13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>
      <c r="A933" s="13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>
      <c r="A934" s="13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>
      <c r="A935" s="13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>
      <c r="A936" s="13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>
      <c r="A937" s="13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>
      <c r="A938" s="13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>
      <c r="A939" s="13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>
      <c r="A940" s="13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>
      <c r="A941" s="13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>
      <c r="A942" s="13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>
      <c r="A943" s="13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>
      <c r="A944" s="13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>
      <c r="A945" s="13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>
      <c r="A946" s="13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>
      <c r="A947" s="13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>
      <c r="A948" s="13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>
      <c r="A949" s="13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>
      <c r="A950" s="13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>
      <c r="A951" s="13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>
      <c r="A952" s="13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>
      <c r="A953" s="13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>
      <c r="A954" s="13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>
      <c r="A955" s="13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>
      <c r="A956" s="13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>
      <c r="A957" s="13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>
      <c r="A958" s="13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>
      <c r="A959" s="13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  <row r="960">
      <c r="A960" s="13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>
      <c r="A961" s="13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</row>
    <row r="962">
      <c r="A962" s="13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</row>
    <row r="963">
      <c r="A963" s="13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>
      <c r="A964" s="13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</row>
    <row r="965">
      <c r="A965" s="13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</row>
    <row r="966">
      <c r="A966" s="13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>
      <c r="A967" s="13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</row>
    <row r="968">
      <c r="A968" s="13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>
      <c r="A969" s="13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</row>
    <row r="970">
      <c r="A970" s="13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>
      <c r="A971" s="13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</row>
    <row r="972">
      <c r="A972" s="13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</row>
    <row r="973">
      <c r="A973" s="13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>
      <c r="A974" s="13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</row>
    <row r="975">
      <c r="A975" s="13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</row>
    <row r="976">
      <c r="A976" s="13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>
      <c r="A977" s="13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</row>
    <row r="978">
      <c r="A978" s="13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</row>
    <row r="979">
      <c r="A979" s="13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>
      <c r="A980" s="13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>
      <c r="A981" s="13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</row>
    <row r="982">
      <c r="A982" s="13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>
      <c r="A983" s="13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</row>
    <row r="984">
      <c r="A984" s="13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>
      <c r="A985" s="13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</row>
    <row r="986">
      <c r="A986" s="13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</row>
    <row r="987">
      <c r="A987" s="13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>
      <c r="A988" s="13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</row>
    <row r="989">
      <c r="A989" s="13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</row>
    <row r="990">
      <c r="A990" s="13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>
      <c r="A991" s="13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</row>
    <row r="992">
      <c r="A992" s="13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>
      <c r="A993" s="13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</row>
    <row r="994">
      <c r="A994" s="13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</row>
    <row r="995">
      <c r="A995" s="13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</row>
    <row r="996">
      <c r="A996" s="13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>
      <c r="A997" s="13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</row>
    <row r="998">
      <c r="A998" s="13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</row>
    <row r="999">
      <c r="A999" s="13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>
      <c r="A1000" s="13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</row>
    <row r="1001">
      <c r="A1001" s="13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</row>
    <row r="1002">
      <c r="A1002" s="13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</row>
    <row r="1003">
      <c r="A1003" s="13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</row>
    <row r="1004">
      <c r="A1004" s="13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</row>
    <row r="1005">
      <c r="A1005" s="13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</row>
    <row r="1006">
      <c r="A1006" s="13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</row>
    <row r="1007">
      <c r="A1007" s="13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</row>
    <row r="1008">
      <c r="A1008" s="13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</row>
  </sheetData>
  <mergeCells count="1">
    <mergeCell ref="C1:E1"/>
  </mergeCells>
  <conditionalFormatting sqref="B1:L1008 M1:N4 O1:U1008 M7:N17 M20:N30 M33:N1008">
    <cfRule type="expression" dxfId="1" priority="1">
      <formula>B$3=$A$1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13"/>
    <col customWidth="1" min="6" max="6" width="9.25"/>
    <col customWidth="1" min="7" max="11" width="5.5"/>
    <col customWidth="1" min="12" max="12" width="8.88"/>
    <col customWidth="1" min="13" max="17" width="5.5"/>
    <col customWidth="1" min="18" max="18" width="9.38"/>
    <col customWidth="1" min="19" max="22" width="5.5"/>
  </cols>
  <sheetData>
    <row r="1">
      <c r="B1" s="27" t="s">
        <v>130</v>
      </c>
      <c r="C1" s="27" t="s">
        <v>131</v>
      </c>
      <c r="D1" s="27" t="s">
        <v>132</v>
      </c>
    </row>
    <row r="2">
      <c r="B2" s="31" t="s">
        <v>5</v>
      </c>
      <c r="C2" s="32" t="s">
        <v>4</v>
      </c>
      <c r="D2" s="31" t="s">
        <v>7</v>
      </c>
      <c r="E2" s="33"/>
      <c r="F2" s="34" t="s">
        <v>120</v>
      </c>
      <c r="G2" s="35">
        <v>45623.0</v>
      </c>
      <c r="H2" s="35">
        <f t="shared" ref="H2:J2" si="1">G2+1</f>
        <v>45624</v>
      </c>
      <c r="I2" s="35">
        <f t="shared" si="1"/>
        <v>45625</v>
      </c>
      <c r="J2" s="35">
        <f t="shared" si="1"/>
        <v>45626</v>
      </c>
      <c r="K2" s="36"/>
      <c r="L2" s="37" t="s">
        <v>125</v>
      </c>
      <c r="M2" s="38">
        <v>45649.0</v>
      </c>
      <c r="N2" s="39">
        <f t="shared" ref="N2:P2" si="2">M2+1</f>
        <v>45650</v>
      </c>
      <c r="O2" s="39">
        <f t="shared" si="2"/>
        <v>45651</v>
      </c>
      <c r="P2" s="39">
        <f t="shared" si="2"/>
        <v>45652</v>
      </c>
      <c r="Q2" s="36"/>
      <c r="R2" s="40" t="s">
        <v>133</v>
      </c>
      <c r="S2" s="41">
        <v>45656.0</v>
      </c>
      <c r="T2" s="42">
        <f t="shared" ref="T2:V2" si="3">S2+1</f>
        <v>45657</v>
      </c>
      <c r="U2" s="42">
        <f t="shared" si="3"/>
        <v>45658</v>
      </c>
      <c r="V2" s="42">
        <f t="shared" si="3"/>
        <v>45659</v>
      </c>
    </row>
    <row r="3">
      <c r="B3" s="31" t="s">
        <v>3</v>
      </c>
      <c r="C3" s="32" t="s">
        <v>9</v>
      </c>
      <c r="D3" s="31" t="s">
        <v>27</v>
      </c>
      <c r="E3" s="33"/>
      <c r="F3" s="43" t="s">
        <v>134</v>
      </c>
      <c r="G3" s="44" t="s">
        <v>135</v>
      </c>
      <c r="H3" s="45" t="s">
        <v>136</v>
      </c>
      <c r="I3" s="45" t="s">
        <v>137</v>
      </c>
      <c r="J3" s="45" t="s">
        <v>136</v>
      </c>
      <c r="K3" s="46"/>
      <c r="L3" s="47" t="s">
        <v>134</v>
      </c>
      <c r="M3" s="48" t="s">
        <v>138</v>
      </c>
      <c r="N3" s="48" t="s">
        <v>138</v>
      </c>
      <c r="O3" s="48" t="s">
        <v>139</v>
      </c>
      <c r="P3" s="48" t="s">
        <v>140</v>
      </c>
      <c r="Q3" s="46"/>
      <c r="R3" s="49" t="s">
        <v>134</v>
      </c>
      <c r="S3" s="50" t="s">
        <v>141</v>
      </c>
      <c r="T3" s="50" t="s">
        <v>142</v>
      </c>
      <c r="U3" s="50" t="s">
        <v>142</v>
      </c>
      <c r="V3" s="50" t="s">
        <v>143</v>
      </c>
    </row>
    <row r="4">
      <c r="B4" s="31" t="s">
        <v>15</v>
      </c>
      <c r="C4" s="32" t="s">
        <v>61</v>
      </c>
      <c r="D4" s="31" t="s">
        <v>41</v>
      </c>
      <c r="E4" s="33"/>
      <c r="F4" s="43" t="s">
        <v>134</v>
      </c>
      <c r="G4" s="51" t="s">
        <v>144</v>
      </c>
      <c r="H4" s="44" t="s">
        <v>144</v>
      </c>
      <c r="I4" s="44" t="s">
        <v>145</v>
      </c>
      <c r="J4" s="52" t="s">
        <v>146</v>
      </c>
      <c r="K4" s="46"/>
      <c r="L4" s="47" t="s">
        <v>134</v>
      </c>
      <c r="M4" s="52" t="s">
        <v>140</v>
      </c>
      <c r="N4" s="52" t="s">
        <v>147</v>
      </c>
      <c r="O4" s="52" t="s">
        <v>148</v>
      </c>
      <c r="P4" s="52" t="s">
        <v>147</v>
      </c>
      <c r="Q4" s="46"/>
      <c r="R4" s="49" t="s">
        <v>134</v>
      </c>
      <c r="S4" s="53" t="s">
        <v>143</v>
      </c>
      <c r="T4" s="53" t="s">
        <v>149</v>
      </c>
      <c r="U4" s="53" t="s">
        <v>150</v>
      </c>
      <c r="V4" s="53" t="s">
        <v>149</v>
      </c>
    </row>
    <row r="5">
      <c r="B5" s="31" t="s">
        <v>21</v>
      </c>
      <c r="C5" s="32" t="s">
        <v>24</v>
      </c>
      <c r="D5" s="31" t="s">
        <v>19</v>
      </c>
      <c r="E5" s="33"/>
      <c r="F5" s="43" t="s">
        <v>151</v>
      </c>
      <c r="G5" s="52" t="s">
        <v>146</v>
      </c>
      <c r="H5" s="44" t="s">
        <v>152</v>
      </c>
      <c r="I5" s="44" t="s">
        <v>146</v>
      </c>
      <c r="J5" s="52" t="s">
        <v>145</v>
      </c>
      <c r="K5" s="46"/>
      <c r="L5" s="47" t="s">
        <v>151</v>
      </c>
      <c r="M5" s="52" t="s">
        <v>147</v>
      </c>
      <c r="N5" s="52" t="s">
        <v>140</v>
      </c>
      <c r="O5" s="52" t="s">
        <v>153</v>
      </c>
      <c r="P5" s="52" t="s">
        <v>138</v>
      </c>
      <c r="Q5" s="46"/>
      <c r="R5" s="49" t="s">
        <v>151</v>
      </c>
      <c r="S5" s="53" t="s">
        <v>149</v>
      </c>
      <c r="T5" s="53" t="s">
        <v>141</v>
      </c>
      <c r="U5" s="53" t="s">
        <v>143</v>
      </c>
      <c r="V5" s="53" t="s">
        <v>142</v>
      </c>
    </row>
    <row r="6">
      <c r="B6" s="31" t="s">
        <v>25</v>
      </c>
      <c r="C6" s="32" t="s">
        <v>29</v>
      </c>
      <c r="D6" s="31" t="s">
        <v>28</v>
      </c>
      <c r="E6" s="33"/>
      <c r="F6" s="43" t="s">
        <v>154</v>
      </c>
      <c r="G6" s="52" t="s">
        <v>137</v>
      </c>
      <c r="H6" s="52" t="s">
        <v>155</v>
      </c>
      <c r="I6" s="44" t="s">
        <v>135</v>
      </c>
      <c r="J6" s="52" t="s">
        <v>137</v>
      </c>
      <c r="K6" s="46"/>
      <c r="L6" s="47" t="s">
        <v>154</v>
      </c>
      <c r="M6" s="52" t="s">
        <v>148</v>
      </c>
      <c r="N6" s="44" t="s">
        <v>156</v>
      </c>
      <c r="O6" s="52" t="s">
        <v>157</v>
      </c>
      <c r="P6" s="52" t="s">
        <v>139</v>
      </c>
      <c r="Q6" s="46"/>
      <c r="R6" s="49" t="s">
        <v>154</v>
      </c>
      <c r="S6" s="53" t="s">
        <v>158</v>
      </c>
      <c r="T6" s="53" t="s">
        <v>159</v>
      </c>
      <c r="U6" s="53" t="s">
        <v>159</v>
      </c>
      <c r="V6" s="53" t="s">
        <v>160</v>
      </c>
    </row>
    <row r="7">
      <c r="B7" s="31" t="s">
        <v>8</v>
      </c>
      <c r="C7" s="32" t="s">
        <v>32</v>
      </c>
      <c r="D7" s="31" t="s">
        <v>31</v>
      </c>
      <c r="E7" s="33"/>
      <c r="F7" s="43" t="s">
        <v>161</v>
      </c>
      <c r="G7" s="52" t="s">
        <v>145</v>
      </c>
      <c r="H7" s="51" t="s">
        <v>162</v>
      </c>
      <c r="I7" s="44" t="s">
        <v>144</v>
      </c>
      <c r="J7" s="52" t="s">
        <v>152</v>
      </c>
      <c r="K7" s="46"/>
      <c r="L7" s="47" t="s">
        <v>161</v>
      </c>
      <c r="M7" s="44" t="s">
        <v>157</v>
      </c>
      <c r="N7" s="52" t="s">
        <v>163</v>
      </c>
      <c r="O7" s="52" t="s">
        <v>164</v>
      </c>
      <c r="P7" s="52" t="s">
        <v>148</v>
      </c>
      <c r="Q7" s="46"/>
      <c r="R7" s="49" t="s">
        <v>161</v>
      </c>
      <c r="S7" s="53" t="s">
        <v>150</v>
      </c>
      <c r="T7" s="53" t="s">
        <v>165</v>
      </c>
      <c r="U7" s="53" t="s">
        <v>141</v>
      </c>
      <c r="V7" s="53" t="s">
        <v>150</v>
      </c>
    </row>
    <row r="8">
      <c r="B8" s="31" t="s">
        <v>30</v>
      </c>
      <c r="C8" s="32" t="s">
        <v>36</v>
      </c>
      <c r="D8" s="31" t="s">
        <v>35</v>
      </c>
      <c r="E8" s="33"/>
      <c r="F8" s="43" t="s">
        <v>166</v>
      </c>
      <c r="G8" s="52" t="s">
        <v>167</v>
      </c>
      <c r="H8" s="44" t="s">
        <v>168</v>
      </c>
      <c r="I8" s="44" t="s">
        <v>155</v>
      </c>
      <c r="J8" s="52" t="s">
        <v>135</v>
      </c>
      <c r="K8" s="46"/>
      <c r="L8" s="47" t="s">
        <v>166</v>
      </c>
      <c r="M8" s="52" t="s">
        <v>169</v>
      </c>
      <c r="N8" s="52" t="s">
        <v>169</v>
      </c>
      <c r="O8" s="52" t="s">
        <v>170</v>
      </c>
      <c r="P8" s="52" t="s">
        <v>170</v>
      </c>
      <c r="Q8" s="46"/>
      <c r="R8" s="49" t="s">
        <v>166</v>
      </c>
      <c r="S8" s="53" t="s">
        <v>171</v>
      </c>
      <c r="T8" s="53" t="s">
        <v>172</v>
      </c>
      <c r="U8" s="53" t="s">
        <v>172</v>
      </c>
      <c r="V8" s="53" t="s">
        <v>158</v>
      </c>
    </row>
    <row r="9">
      <c r="B9" s="31" t="s">
        <v>33</v>
      </c>
      <c r="C9" s="32" t="s">
        <v>40</v>
      </c>
      <c r="D9" s="31" t="s">
        <v>38</v>
      </c>
      <c r="E9" s="33"/>
      <c r="F9" s="43" t="s">
        <v>173</v>
      </c>
      <c r="G9" s="52" t="s">
        <v>174</v>
      </c>
      <c r="H9" s="52" t="s">
        <v>175</v>
      </c>
      <c r="I9" s="44" t="s">
        <v>174</v>
      </c>
      <c r="J9" s="52" t="s">
        <v>175</v>
      </c>
      <c r="K9" s="46"/>
      <c r="L9" s="47" t="s">
        <v>173</v>
      </c>
      <c r="M9" s="44" t="s">
        <v>176</v>
      </c>
      <c r="N9" s="44" t="s">
        <v>176</v>
      </c>
      <c r="O9" s="52" t="s">
        <v>156</v>
      </c>
      <c r="P9" s="52" t="s">
        <v>177</v>
      </c>
      <c r="Q9" s="46"/>
      <c r="R9" s="49" t="s">
        <v>173</v>
      </c>
      <c r="S9" s="53" t="s">
        <v>160</v>
      </c>
      <c r="T9" s="53" t="s">
        <v>178</v>
      </c>
      <c r="U9" s="53" t="s">
        <v>165</v>
      </c>
      <c r="V9" s="53" t="s">
        <v>171</v>
      </c>
    </row>
    <row r="10">
      <c r="B10" s="31" t="s">
        <v>37</v>
      </c>
      <c r="C10" s="32" t="s">
        <v>46</v>
      </c>
      <c r="D10" s="31" t="s">
        <v>42</v>
      </c>
      <c r="E10" s="33"/>
      <c r="F10" s="43" t="s">
        <v>173</v>
      </c>
      <c r="G10" s="52" t="s">
        <v>179</v>
      </c>
      <c r="H10" s="52" t="s">
        <v>174</v>
      </c>
      <c r="I10" s="52" t="s">
        <v>179</v>
      </c>
      <c r="J10" s="52" t="s">
        <v>162</v>
      </c>
      <c r="K10" s="46"/>
      <c r="L10" s="47" t="s">
        <v>173</v>
      </c>
      <c r="M10" s="44" t="s">
        <v>164</v>
      </c>
      <c r="N10" s="52" t="s">
        <v>180</v>
      </c>
      <c r="O10" s="52" t="s">
        <v>180</v>
      </c>
      <c r="P10" s="52" t="s">
        <v>164</v>
      </c>
      <c r="Q10" s="46"/>
      <c r="R10" s="49" t="s">
        <v>173</v>
      </c>
      <c r="S10" s="53" t="s">
        <v>181</v>
      </c>
      <c r="T10" s="53" t="s">
        <v>160</v>
      </c>
      <c r="U10" s="53" t="s">
        <v>171</v>
      </c>
      <c r="V10" s="53" t="s">
        <v>165</v>
      </c>
    </row>
    <row r="11">
      <c r="B11" s="31" t="s">
        <v>17</v>
      </c>
      <c r="C11" s="32" t="s">
        <v>47</v>
      </c>
      <c r="D11" s="31" t="s">
        <v>45</v>
      </c>
      <c r="E11" s="33"/>
      <c r="F11" s="43" t="s">
        <v>182</v>
      </c>
      <c r="G11" s="52" t="s">
        <v>183</v>
      </c>
      <c r="H11" s="44" t="s">
        <v>167</v>
      </c>
      <c r="I11" s="44" t="s">
        <v>184</v>
      </c>
      <c r="J11" s="44" t="s">
        <v>179</v>
      </c>
      <c r="K11" s="46"/>
      <c r="L11" s="47" t="s">
        <v>182</v>
      </c>
      <c r="M11" s="52" t="s">
        <v>185</v>
      </c>
      <c r="N11" s="52" t="s">
        <v>186</v>
      </c>
      <c r="O11" s="52" t="s">
        <v>186</v>
      </c>
      <c r="P11" s="52" t="s">
        <v>153</v>
      </c>
      <c r="Q11" s="46"/>
      <c r="R11" s="49" t="s">
        <v>182</v>
      </c>
      <c r="S11" s="53" t="s">
        <v>187</v>
      </c>
      <c r="T11" s="53" t="s">
        <v>158</v>
      </c>
      <c r="U11" s="53" t="s">
        <v>178</v>
      </c>
      <c r="V11" s="53" t="s">
        <v>159</v>
      </c>
    </row>
    <row r="12">
      <c r="B12" s="31" t="s">
        <v>50</v>
      </c>
      <c r="C12" s="32" t="s">
        <v>51</v>
      </c>
      <c r="D12" s="31" t="s">
        <v>48</v>
      </c>
      <c r="E12" s="33"/>
      <c r="F12" s="43" t="s">
        <v>188</v>
      </c>
      <c r="G12" s="52" t="s">
        <v>189</v>
      </c>
      <c r="H12" s="44" t="s">
        <v>183</v>
      </c>
      <c r="I12" s="52" t="s">
        <v>167</v>
      </c>
      <c r="J12" s="44" t="s">
        <v>184</v>
      </c>
      <c r="K12" s="46"/>
      <c r="L12" s="47" t="s">
        <v>188</v>
      </c>
      <c r="M12" s="52" t="s">
        <v>177</v>
      </c>
      <c r="N12" s="52" t="s">
        <v>177</v>
      </c>
      <c r="O12" s="52" t="s">
        <v>163</v>
      </c>
      <c r="P12" s="52" t="s">
        <v>157</v>
      </c>
      <c r="Q12" s="46"/>
      <c r="R12" s="49" t="s">
        <v>188</v>
      </c>
      <c r="S12" s="53" t="s">
        <v>190</v>
      </c>
      <c r="T12" s="53" t="s">
        <v>190</v>
      </c>
      <c r="U12" s="53" t="s">
        <v>181</v>
      </c>
      <c r="V12" s="53" t="s">
        <v>181</v>
      </c>
    </row>
    <row r="13">
      <c r="B13" s="31" t="s">
        <v>52</v>
      </c>
      <c r="D13" s="31" t="s">
        <v>23</v>
      </c>
      <c r="E13" s="33"/>
      <c r="F13" s="43" t="s">
        <v>191</v>
      </c>
      <c r="G13" s="52" t="s">
        <v>184</v>
      </c>
      <c r="H13" s="44" t="s">
        <v>189</v>
      </c>
      <c r="I13" s="44" t="s">
        <v>183</v>
      </c>
      <c r="J13" s="52" t="s">
        <v>168</v>
      </c>
      <c r="K13" s="46"/>
      <c r="L13" s="47" t="s">
        <v>191</v>
      </c>
      <c r="M13" s="52" t="s">
        <v>192</v>
      </c>
      <c r="N13" s="52" t="s">
        <v>185</v>
      </c>
      <c r="O13" s="52" t="s">
        <v>192</v>
      </c>
      <c r="P13" s="52" t="s">
        <v>185</v>
      </c>
      <c r="Q13" s="46"/>
      <c r="R13" s="49" t="s">
        <v>191</v>
      </c>
      <c r="S13" s="53" t="s">
        <v>193</v>
      </c>
      <c r="T13" s="53" t="s">
        <v>187</v>
      </c>
      <c r="U13" s="53" t="s">
        <v>193</v>
      </c>
      <c r="V13" s="53" t="s">
        <v>193</v>
      </c>
    </row>
    <row r="14">
      <c r="B14" s="54"/>
      <c r="E14" s="33"/>
      <c r="F14" s="55" t="s">
        <v>194</v>
      </c>
      <c r="G14" s="52" t="s">
        <v>195</v>
      </c>
      <c r="H14" s="52" t="s">
        <v>195</v>
      </c>
      <c r="I14" s="52" t="s">
        <v>196</v>
      </c>
      <c r="J14" s="52" t="s">
        <v>196</v>
      </c>
      <c r="K14" s="46"/>
      <c r="L14" s="56" t="s">
        <v>194</v>
      </c>
      <c r="M14" s="52" t="s">
        <v>197</v>
      </c>
      <c r="N14" s="52" t="s">
        <v>197</v>
      </c>
      <c r="O14" s="52" t="s">
        <v>198</v>
      </c>
      <c r="P14" s="52" t="s">
        <v>198</v>
      </c>
      <c r="Q14" s="46"/>
      <c r="R14" s="57" t="s">
        <v>194</v>
      </c>
      <c r="S14" s="53" t="s">
        <v>199</v>
      </c>
      <c r="T14" s="53" t="s">
        <v>199</v>
      </c>
      <c r="U14" s="53" t="s">
        <v>200</v>
      </c>
      <c r="V14" s="53" t="s">
        <v>200</v>
      </c>
    </row>
    <row r="15">
      <c r="B15">
        <f>counta(C2:C12,D2:D13)</f>
        <v>23</v>
      </c>
      <c r="C15">
        <f>counta(B2:B13,D2:D13)</f>
        <v>24</v>
      </c>
      <c r="D15">
        <f>counta(B2:C13)</f>
        <v>23</v>
      </c>
      <c r="E15" s="33"/>
      <c r="F15" s="55" t="s">
        <v>201</v>
      </c>
      <c r="G15" s="52" t="s">
        <v>202</v>
      </c>
      <c r="H15" s="52" t="s">
        <v>202</v>
      </c>
      <c r="I15" s="52" t="s">
        <v>203</v>
      </c>
      <c r="J15" s="52" t="s">
        <v>203</v>
      </c>
      <c r="K15" s="46"/>
      <c r="L15" s="56" t="s">
        <v>201</v>
      </c>
      <c r="M15" s="52" t="s">
        <v>204</v>
      </c>
      <c r="N15" s="52" t="s">
        <v>204</v>
      </c>
      <c r="O15" s="52" t="s">
        <v>205</v>
      </c>
      <c r="P15" s="52" t="s">
        <v>205</v>
      </c>
      <c r="Q15" s="46"/>
      <c r="R15" s="57" t="s">
        <v>201</v>
      </c>
      <c r="S15" s="53" t="s">
        <v>206</v>
      </c>
      <c r="T15" s="53" t="s">
        <v>206</v>
      </c>
      <c r="U15" s="53" t="s">
        <v>207</v>
      </c>
      <c r="V15" s="53" t="s">
        <v>207</v>
      </c>
    </row>
    <row r="16">
      <c r="E16" s="33"/>
      <c r="F16" s="43" t="s">
        <v>194</v>
      </c>
      <c r="G16" s="52" t="s">
        <v>208</v>
      </c>
      <c r="H16" s="52" t="s">
        <v>208</v>
      </c>
      <c r="I16" s="52" t="s">
        <v>209</v>
      </c>
      <c r="J16" s="52" t="s">
        <v>209</v>
      </c>
      <c r="K16" s="46"/>
      <c r="L16" s="47" t="s">
        <v>194</v>
      </c>
      <c r="M16" s="52" t="s">
        <v>210</v>
      </c>
      <c r="N16" s="52" t="s">
        <v>210</v>
      </c>
      <c r="O16" s="52" t="s">
        <v>211</v>
      </c>
      <c r="P16" s="52" t="s">
        <v>211</v>
      </c>
      <c r="Q16" s="46"/>
      <c r="R16" s="49" t="s">
        <v>194</v>
      </c>
      <c r="S16" s="53" t="s">
        <v>212</v>
      </c>
      <c r="T16" s="53" t="s">
        <v>212</v>
      </c>
      <c r="U16" s="53" t="s">
        <v>213</v>
      </c>
      <c r="V16" s="53" t="s">
        <v>213</v>
      </c>
    </row>
    <row r="18">
      <c r="F18" s="27" t="s">
        <v>144</v>
      </c>
      <c r="G18" s="27" t="s">
        <v>214</v>
      </c>
      <c r="H18" s="27" t="s">
        <v>215</v>
      </c>
      <c r="I18" s="27" t="s">
        <v>216</v>
      </c>
      <c r="J18" s="27" t="s">
        <v>217</v>
      </c>
      <c r="L18" s="27" t="s">
        <v>186</v>
      </c>
      <c r="M18" s="27" t="s">
        <v>218</v>
      </c>
      <c r="N18" s="27" t="s">
        <v>219</v>
      </c>
      <c r="O18" s="27" t="s">
        <v>216</v>
      </c>
      <c r="P18" s="27" t="s">
        <v>217</v>
      </c>
      <c r="S18" s="27" t="s">
        <v>220</v>
      </c>
      <c r="T18" s="27" t="s">
        <v>221</v>
      </c>
      <c r="U18" s="27" t="s">
        <v>216</v>
      </c>
      <c r="V18" s="27" t="s">
        <v>217</v>
      </c>
    </row>
    <row r="19">
      <c r="B19" s="32" t="s">
        <v>51</v>
      </c>
      <c r="F19" s="27" t="s">
        <v>195</v>
      </c>
      <c r="G19">
        <f t="shared" ref="G19:G41" si="4">countif($H$3:$H$16,F19)</f>
        <v>1</v>
      </c>
      <c r="H19">
        <f t="shared" ref="H19:H41" si="5">countif($J$3:$J$16,F19)</f>
        <v>0</v>
      </c>
      <c r="I19">
        <f t="shared" ref="I19:I41" si="6">countif(G$3:J$16,F19)</f>
        <v>2</v>
      </c>
      <c r="J19">
        <f t="shared" ref="J19:J41" si="7">sum(G19:I19)</f>
        <v>3</v>
      </c>
      <c r="L19" s="27" t="s">
        <v>197</v>
      </c>
      <c r="M19">
        <f t="shared" ref="M19:M42" si="8">countif($N$3:$N$16,L19)</f>
        <v>1</v>
      </c>
      <c r="N19">
        <f t="shared" ref="N19:N42" si="9">countif($O$3:$O$16,L19)</f>
        <v>0</v>
      </c>
      <c r="O19">
        <f t="shared" ref="O19:O42" si="10">countif(M$3:P$16,L19)</f>
        <v>2</v>
      </c>
      <c r="P19">
        <f t="shared" ref="P19:P42" si="11">sum(M19:O19)</f>
        <v>3</v>
      </c>
      <c r="R19" s="27" t="s">
        <v>199</v>
      </c>
      <c r="S19">
        <f t="shared" ref="S19:S41" si="12">countif($T$3:$T$16,R19)</f>
        <v>1</v>
      </c>
      <c r="T19">
        <f t="shared" ref="T19:T41" si="13">countif($U$3:$U$16,R19)</f>
        <v>0</v>
      </c>
      <c r="U19">
        <f t="shared" ref="U19:U41" si="14">countif(S$3:V$16,R19)</f>
        <v>2</v>
      </c>
      <c r="V19">
        <f t="shared" ref="V19:V41" si="15">sum(S19:U19)</f>
        <v>3</v>
      </c>
    </row>
    <row r="20">
      <c r="B20" s="32" t="s">
        <v>9</v>
      </c>
      <c r="F20" s="27" t="s">
        <v>202</v>
      </c>
      <c r="G20">
        <f t="shared" si="4"/>
        <v>1</v>
      </c>
      <c r="H20">
        <f t="shared" si="5"/>
        <v>0</v>
      </c>
      <c r="I20">
        <f t="shared" si="6"/>
        <v>2</v>
      </c>
      <c r="J20">
        <f t="shared" si="7"/>
        <v>3</v>
      </c>
      <c r="L20" s="27" t="s">
        <v>204</v>
      </c>
      <c r="M20">
        <f t="shared" si="8"/>
        <v>1</v>
      </c>
      <c r="N20">
        <f t="shared" si="9"/>
        <v>0</v>
      </c>
      <c r="O20">
        <f t="shared" si="10"/>
        <v>2</v>
      </c>
      <c r="P20">
        <f t="shared" si="11"/>
        <v>3</v>
      </c>
      <c r="R20" s="27" t="s">
        <v>206</v>
      </c>
      <c r="S20">
        <f t="shared" si="12"/>
        <v>1</v>
      </c>
      <c r="T20">
        <f t="shared" si="13"/>
        <v>0</v>
      </c>
      <c r="U20">
        <f t="shared" si="14"/>
        <v>2</v>
      </c>
      <c r="V20">
        <f t="shared" si="15"/>
        <v>3</v>
      </c>
    </row>
    <row r="21">
      <c r="B21" s="32" t="s">
        <v>24</v>
      </c>
      <c r="F21" s="27" t="s">
        <v>208</v>
      </c>
      <c r="G21">
        <f t="shared" si="4"/>
        <v>1</v>
      </c>
      <c r="H21">
        <f t="shared" si="5"/>
        <v>0</v>
      </c>
      <c r="I21">
        <f t="shared" si="6"/>
        <v>2</v>
      </c>
      <c r="J21">
        <f t="shared" si="7"/>
        <v>3</v>
      </c>
      <c r="L21" s="27" t="s">
        <v>210</v>
      </c>
      <c r="M21">
        <f t="shared" si="8"/>
        <v>1</v>
      </c>
      <c r="N21">
        <f t="shared" si="9"/>
        <v>0</v>
      </c>
      <c r="O21">
        <f t="shared" si="10"/>
        <v>2</v>
      </c>
      <c r="P21">
        <f t="shared" si="11"/>
        <v>3</v>
      </c>
      <c r="R21" s="27" t="s">
        <v>212</v>
      </c>
      <c r="S21">
        <f t="shared" si="12"/>
        <v>1</v>
      </c>
      <c r="T21">
        <f t="shared" si="13"/>
        <v>0</v>
      </c>
      <c r="U21">
        <f t="shared" si="14"/>
        <v>2</v>
      </c>
      <c r="V21">
        <f t="shared" si="15"/>
        <v>3</v>
      </c>
    </row>
    <row r="22">
      <c r="B22" s="31" t="s">
        <v>27</v>
      </c>
      <c r="F22" s="27" t="s">
        <v>196</v>
      </c>
      <c r="G22">
        <f t="shared" si="4"/>
        <v>0</v>
      </c>
      <c r="H22">
        <f t="shared" si="5"/>
        <v>1</v>
      </c>
      <c r="I22">
        <f t="shared" si="6"/>
        <v>2</v>
      </c>
      <c r="J22">
        <f t="shared" si="7"/>
        <v>3</v>
      </c>
      <c r="L22" s="27" t="s">
        <v>198</v>
      </c>
      <c r="M22">
        <f t="shared" si="8"/>
        <v>0</v>
      </c>
      <c r="N22">
        <f t="shared" si="9"/>
        <v>1</v>
      </c>
      <c r="O22">
        <f t="shared" si="10"/>
        <v>2</v>
      </c>
      <c r="P22">
        <f t="shared" si="11"/>
        <v>3</v>
      </c>
      <c r="R22" s="27" t="s">
        <v>200</v>
      </c>
      <c r="S22">
        <f t="shared" si="12"/>
        <v>0</v>
      </c>
      <c r="T22">
        <f t="shared" si="13"/>
        <v>1</v>
      </c>
      <c r="U22">
        <f t="shared" si="14"/>
        <v>2</v>
      </c>
      <c r="V22">
        <f t="shared" si="15"/>
        <v>3</v>
      </c>
    </row>
    <row r="23">
      <c r="B23" s="31" t="s">
        <v>30</v>
      </c>
      <c r="F23" s="27" t="s">
        <v>203</v>
      </c>
      <c r="G23">
        <f t="shared" si="4"/>
        <v>0</v>
      </c>
      <c r="H23">
        <f t="shared" si="5"/>
        <v>1</v>
      </c>
      <c r="I23">
        <f t="shared" si="6"/>
        <v>2</v>
      </c>
      <c r="J23">
        <f t="shared" si="7"/>
        <v>3</v>
      </c>
      <c r="L23" s="27" t="s">
        <v>205</v>
      </c>
      <c r="M23">
        <f t="shared" si="8"/>
        <v>0</v>
      </c>
      <c r="N23">
        <f t="shared" si="9"/>
        <v>1</v>
      </c>
      <c r="O23">
        <f t="shared" si="10"/>
        <v>2</v>
      </c>
      <c r="P23">
        <f t="shared" si="11"/>
        <v>3</v>
      </c>
      <c r="R23" s="27" t="s">
        <v>207</v>
      </c>
      <c r="S23">
        <f t="shared" si="12"/>
        <v>0</v>
      </c>
      <c r="T23">
        <f t="shared" si="13"/>
        <v>1</v>
      </c>
      <c r="U23">
        <f t="shared" si="14"/>
        <v>2</v>
      </c>
      <c r="V23">
        <f t="shared" si="15"/>
        <v>3</v>
      </c>
    </row>
    <row r="24">
      <c r="B24" s="31" t="s">
        <v>45</v>
      </c>
      <c r="F24" s="27" t="s">
        <v>209</v>
      </c>
      <c r="G24">
        <f t="shared" si="4"/>
        <v>0</v>
      </c>
      <c r="H24">
        <f t="shared" si="5"/>
        <v>1</v>
      </c>
      <c r="I24">
        <f t="shared" si="6"/>
        <v>2</v>
      </c>
      <c r="J24">
        <f t="shared" si="7"/>
        <v>3</v>
      </c>
      <c r="L24" s="27" t="s">
        <v>211</v>
      </c>
      <c r="M24">
        <f t="shared" si="8"/>
        <v>0</v>
      </c>
      <c r="N24">
        <f t="shared" si="9"/>
        <v>1</v>
      </c>
      <c r="O24">
        <f t="shared" si="10"/>
        <v>2</v>
      </c>
      <c r="P24">
        <f t="shared" si="11"/>
        <v>3</v>
      </c>
      <c r="R24" s="27" t="s">
        <v>213</v>
      </c>
      <c r="S24">
        <f t="shared" si="12"/>
        <v>0</v>
      </c>
      <c r="T24">
        <f t="shared" si="13"/>
        <v>1</v>
      </c>
      <c r="U24">
        <f t="shared" si="14"/>
        <v>2</v>
      </c>
      <c r="V24">
        <f t="shared" si="15"/>
        <v>3</v>
      </c>
    </row>
    <row r="25">
      <c r="B25" s="31" t="s">
        <v>25</v>
      </c>
      <c r="F25" s="27" t="s">
        <v>136</v>
      </c>
      <c r="G25">
        <f t="shared" si="4"/>
        <v>1</v>
      </c>
      <c r="H25">
        <f t="shared" si="5"/>
        <v>1</v>
      </c>
      <c r="I25">
        <f t="shared" si="6"/>
        <v>2</v>
      </c>
      <c r="J25">
        <f t="shared" si="7"/>
        <v>4</v>
      </c>
      <c r="L25" s="27" t="s">
        <v>138</v>
      </c>
      <c r="M25">
        <f t="shared" si="8"/>
        <v>1</v>
      </c>
      <c r="N25">
        <f t="shared" si="9"/>
        <v>0</v>
      </c>
      <c r="O25">
        <f t="shared" si="10"/>
        <v>3</v>
      </c>
      <c r="P25">
        <f t="shared" si="11"/>
        <v>4</v>
      </c>
      <c r="R25" s="27" t="s">
        <v>141</v>
      </c>
      <c r="S25">
        <f t="shared" si="12"/>
        <v>1</v>
      </c>
      <c r="T25">
        <f t="shared" si="13"/>
        <v>1</v>
      </c>
      <c r="U25">
        <f t="shared" si="14"/>
        <v>3</v>
      </c>
      <c r="V25">
        <f t="shared" si="15"/>
        <v>5</v>
      </c>
    </row>
    <row r="26">
      <c r="B26" s="32" t="s">
        <v>29</v>
      </c>
      <c r="F26" s="27" t="s">
        <v>152</v>
      </c>
      <c r="G26">
        <f t="shared" si="4"/>
        <v>1</v>
      </c>
      <c r="H26">
        <f t="shared" si="5"/>
        <v>1</v>
      </c>
      <c r="I26">
        <f t="shared" si="6"/>
        <v>2</v>
      </c>
      <c r="J26">
        <f t="shared" si="7"/>
        <v>4</v>
      </c>
      <c r="L26" s="27" t="s">
        <v>147</v>
      </c>
      <c r="M26">
        <f t="shared" si="8"/>
        <v>1</v>
      </c>
      <c r="N26">
        <f t="shared" si="9"/>
        <v>0</v>
      </c>
      <c r="O26">
        <f t="shared" si="10"/>
        <v>3</v>
      </c>
      <c r="P26">
        <f t="shared" si="11"/>
        <v>4</v>
      </c>
      <c r="R26" s="27" t="s">
        <v>149</v>
      </c>
      <c r="S26">
        <f t="shared" si="12"/>
        <v>1</v>
      </c>
      <c r="T26">
        <f t="shared" si="13"/>
        <v>0</v>
      </c>
      <c r="U26">
        <f t="shared" si="14"/>
        <v>3</v>
      </c>
      <c r="V26">
        <f t="shared" si="15"/>
        <v>4</v>
      </c>
    </row>
    <row r="27">
      <c r="B27" s="31" t="s">
        <v>48</v>
      </c>
      <c r="F27" s="27" t="s">
        <v>146</v>
      </c>
      <c r="G27">
        <f t="shared" si="4"/>
        <v>0</v>
      </c>
      <c r="H27">
        <f t="shared" si="5"/>
        <v>1</v>
      </c>
      <c r="I27">
        <f t="shared" si="6"/>
        <v>3</v>
      </c>
      <c r="J27">
        <f t="shared" si="7"/>
        <v>4</v>
      </c>
      <c r="L27" s="27" t="s">
        <v>140</v>
      </c>
      <c r="M27">
        <f t="shared" si="8"/>
        <v>1</v>
      </c>
      <c r="N27">
        <f t="shared" si="9"/>
        <v>0</v>
      </c>
      <c r="O27">
        <f t="shared" si="10"/>
        <v>3</v>
      </c>
      <c r="P27">
        <f t="shared" si="11"/>
        <v>4</v>
      </c>
      <c r="R27" s="27" t="s">
        <v>142</v>
      </c>
      <c r="S27">
        <f t="shared" si="12"/>
        <v>1</v>
      </c>
      <c r="T27">
        <f t="shared" si="13"/>
        <v>1</v>
      </c>
      <c r="U27">
        <f t="shared" si="14"/>
        <v>3</v>
      </c>
      <c r="V27">
        <f t="shared" si="15"/>
        <v>5</v>
      </c>
    </row>
    <row r="28">
      <c r="B28" s="31" t="s">
        <v>28</v>
      </c>
      <c r="F28" s="27" t="s">
        <v>137</v>
      </c>
      <c r="G28">
        <f t="shared" si="4"/>
        <v>0</v>
      </c>
      <c r="H28">
        <f t="shared" si="5"/>
        <v>1</v>
      </c>
      <c r="I28">
        <f t="shared" si="6"/>
        <v>3</v>
      </c>
      <c r="J28">
        <f t="shared" si="7"/>
        <v>4</v>
      </c>
      <c r="L28" s="27" t="s">
        <v>139</v>
      </c>
      <c r="M28">
        <f t="shared" si="8"/>
        <v>0</v>
      </c>
      <c r="N28">
        <f t="shared" si="9"/>
        <v>1</v>
      </c>
      <c r="O28">
        <f t="shared" si="10"/>
        <v>2</v>
      </c>
      <c r="P28">
        <f t="shared" si="11"/>
        <v>3</v>
      </c>
      <c r="R28" s="27" t="s">
        <v>143</v>
      </c>
      <c r="S28">
        <f t="shared" si="12"/>
        <v>0</v>
      </c>
      <c r="T28">
        <f t="shared" si="13"/>
        <v>1</v>
      </c>
      <c r="U28">
        <f t="shared" si="14"/>
        <v>3</v>
      </c>
      <c r="V28">
        <f t="shared" si="15"/>
        <v>4</v>
      </c>
    </row>
    <row r="29">
      <c r="B29" s="32" t="s">
        <v>47</v>
      </c>
      <c r="F29" s="27" t="s">
        <v>145</v>
      </c>
      <c r="G29">
        <f t="shared" si="4"/>
        <v>0</v>
      </c>
      <c r="H29">
        <f t="shared" si="5"/>
        <v>1</v>
      </c>
      <c r="I29">
        <f t="shared" si="6"/>
        <v>3</v>
      </c>
      <c r="J29">
        <f t="shared" si="7"/>
        <v>4</v>
      </c>
      <c r="L29" s="27" t="s">
        <v>148</v>
      </c>
      <c r="M29">
        <f t="shared" si="8"/>
        <v>0</v>
      </c>
      <c r="N29">
        <f t="shared" si="9"/>
        <v>1</v>
      </c>
      <c r="O29">
        <f t="shared" si="10"/>
        <v>3</v>
      </c>
      <c r="P29">
        <f t="shared" si="11"/>
        <v>4</v>
      </c>
      <c r="R29" s="27" t="s">
        <v>150</v>
      </c>
      <c r="S29">
        <f t="shared" si="12"/>
        <v>0</v>
      </c>
      <c r="T29">
        <f t="shared" si="13"/>
        <v>1</v>
      </c>
      <c r="U29">
        <f t="shared" si="14"/>
        <v>3</v>
      </c>
      <c r="V29">
        <f t="shared" si="15"/>
        <v>4</v>
      </c>
    </row>
    <row r="30">
      <c r="B30" s="32" t="s">
        <v>4</v>
      </c>
      <c r="F30" s="27" t="s">
        <v>167</v>
      </c>
      <c r="G30">
        <f t="shared" si="4"/>
        <v>1</v>
      </c>
      <c r="H30">
        <f t="shared" si="5"/>
        <v>0</v>
      </c>
      <c r="I30">
        <f t="shared" si="6"/>
        <v>3</v>
      </c>
      <c r="J30">
        <f t="shared" si="7"/>
        <v>4</v>
      </c>
      <c r="L30" s="27" t="s">
        <v>169</v>
      </c>
      <c r="M30">
        <f t="shared" si="8"/>
        <v>1</v>
      </c>
      <c r="N30">
        <f t="shared" si="9"/>
        <v>0</v>
      </c>
      <c r="O30">
        <f t="shared" si="10"/>
        <v>2</v>
      </c>
      <c r="P30">
        <f t="shared" si="11"/>
        <v>3</v>
      </c>
      <c r="R30" s="27" t="s">
        <v>171</v>
      </c>
      <c r="S30">
        <f t="shared" si="12"/>
        <v>0</v>
      </c>
      <c r="T30">
        <f t="shared" si="13"/>
        <v>1</v>
      </c>
      <c r="U30">
        <f t="shared" si="14"/>
        <v>3</v>
      </c>
      <c r="V30">
        <f t="shared" si="15"/>
        <v>4</v>
      </c>
    </row>
    <row r="31">
      <c r="B31" s="31" t="s">
        <v>21</v>
      </c>
      <c r="F31" s="27" t="s">
        <v>135</v>
      </c>
      <c r="G31">
        <f t="shared" si="4"/>
        <v>0</v>
      </c>
      <c r="H31">
        <f t="shared" si="5"/>
        <v>1</v>
      </c>
      <c r="I31">
        <f t="shared" si="6"/>
        <v>3</v>
      </c>
      <c r="J31">
        <f t="shared" si="7"/>
        <v>4</v>
      </c>
      <c r="L31" s="27" t="s">
        <v>170</v>
      </c>
      <c r="M31">
        <f t="shared" si="8"/>
        <v>0</v>
      </c>
      <c r="N31">
        <f t="shared" si="9"/>
        <v>1</v>
      </c>
      <c r="O31">
        <f t="shared" si="10"/>
        <v>2</v>
      </c>
      <c r="P31">
        <f t="shared" si="11"/>
        <v>3</v>
      </c>
      <c r="R31" s="27" t="s">
        <v>158</v>
      </c>
      <c r="S31">
        <f t="shared" si="12"/>
        <v>1</v>
      </c>
      <c r="T31">
        <f t="shared" si="13"/>
        <v>0</v>
      </c>
      <c r="U31">
        <f t="shared" si="14"/>
        <v>3</v>
      </c>
      <c r="V31">
        <f t="shared" si="15"/>
        <v>4</v>
      </c>
    </row>
    <row r="32">
      <c r="B32" s="31" t="s">
        <v>31</v>
      </c>
      <c r="F32" s="27" t="s">
        <v>174</v>
      </c>
      <c r="G32">
        <f t="shared" si="4"/>
        <v>1</v>
      </c>
      <c r="H32">
        <f t="shared" si="5"/>
        <v>0</v>
      </c>
      <c r="I32">
        <f t="shared" si="6"/>
        <v>3</v>
      </c>
      <c r="J32">
        <f t="shared" si="7"/>
        <v>4</v>
      </c>
      <c r="L32" s="27" t="s">
        <v>180</v>
      </c>
      <c r="M32">
        <f t="shared" si="8"/>
        <v>1</v>
      </c>
      <c r="N32">
        <f t="shared" si="9"/>
        <v>1</v>
      </c>
      <c r="O32">
        <f t="shared" si="10"/>
        <v>2</v>
      </c>
      <c r="P32">
        <f t="shared" si="11"/>
        <v>4</v>
      </c>
      <c r="R32" s="27" t="s">
        <v>160</v>
      </c>
      <c r="S32">
        <f t="shared" si="12"/>
        <v>1</v>
      </c>
      <c r="T32">
        <f t="shared" si="13"/>
        <v>0</v>
      </c>
      <c r="U32">
        <f t="shared" si="14"/>
        <v>3</v>
      </c>
      <c r="V32">
        <f t="shared" si="15"/>
        <v>4</v>
      </c>
    </row>
    <row r="33">
      <c r="B33" s="31" t="s">
        <v>38</v>
      </c>
      <c r="F33" s="27" t="s">
        <v>179</v>
      </c>
      <c r="G33">
        <f t="shared" si="4"/>
        <v>0</v>
      </c>
      <c r="H33">
        <f t="shared" si="5"/>
        <v>1</v>
      </c>
      <c r="I33">
        <f t="shared" si="6"/>
        <v>3</v>
      </c>
      <c r="J33">
        <f t="shared" si="7"/>
        <v>4</v>
      </c>
      <c r="L33" s="27" t="s">
        <v>186</v>
      </c>
      <c r="M33">
        <f t="shared" si="8"/>
        <v>1</v>
      </c>
      <c r="N33">
        <f t="shared" si="9"/>
        <v>1</v>
      </c>
      <c r="O33">
        <f t="shared" si="10"/>
        <v>2</v>
      </c>
      <c r="P33">
        <f t="shared" si="11"/>
        <v>4</v>
      </c>
      <c r="R33" s="27" t="s">
        <v>181</v>
      </c>
      <c r="S33">
        <f t="shared" si="12"/>
        <v>0</v>
      </c>
      <c r="T33">
        <f t="shared" si="13"/>
        <v>1</v>
      </c>
      <c r="U33">
        <f t="shared" si="14"/>
        <v>3</v>
      </c>
      <c r="V33">
        <f t="shared" si="15"/>
        <v>4</v>
      </c>
    </row>
    <row r="34">
      <c r="B34" s="31" t="s">
        <v>5</v>
      </c>
      <c r="F34" s="27" t="s">
        <v>183</v>
      </c>
      <c r="G34">
        <f t="shared" si="4"/>
        <v>1</v>
      </c>
      <c r="H34">
        <f t="shared" si="5"/>
        <v>0</v>
      </c>
      <c r="I34">
        <f t="shared" si="6"/>
        <v>3</v>
      </c>
      <c r="J34">
        <f t="shared" si="7"/>
        <v>4</v>
      </c>
      <c r="L34" s="27" t="s">
        <v>185</v>
      </c>
      <c r="M34">
        <f t="shared" si="8"/>
        <v>1</v>
      </c>
      <c r="N34">
        <f t="shared" si="9"/>
        <v>0</v>
      </c>
      <c r="O34">
        <f t="shared" si="10"/>
        <v>3</v>
      </c>
      <c r="P34">
        <f t="shared" si="11"/>
        <v>4</v>
      </c>
      <c r="R34" s="27" t="s">
        <v>187</v>
      </c>
      <c r="S34">
        <f t="shared" si="12"/>
        <v>1</v>
      </c>
      <c r="T34">
        <f t="shared" si="13"/>
        <v>0</v>
      </c>
      <c r="U34">
        <f t="shared" si="14"/>
        <v>2</v>
      </c>
      <c r="V34">
        <f t="shared" si="15"/>
        <v>3</v>
      </c>
    </row>
    <row r="35">
      <c r="B35" s="31" t="s">
        <v>41</v>
      </c>
      <c r="F35" s="27" t="s">
        <v>189</v>
      </c>
      <c r="G35">
        <f t="shared" si="4"/>
        <v>1</v>
      </c>
      <c r="H35">
        <f t="shared" si="5"/>
        <v>0</v>
      </c>
      <c r="I35">
        <f t="shared" si="6"/>
        <v>2</v>
      </c>
      <c r="J35">
        <f t="shared" si="7"/>
        <v>3</v>
      </c>
      <c r="L35" s="27" t="s">
        <v>177</v>
      </c>
      <c r="M35">
        <f t="shared" si="8"/>
        <v>1</v>
      </c>
      <c r="N35">
        <f t="shared" si="9"/>
        <v>0</v>
      </c>
      <c r="O35">
        <f t="shared" si="10"/>
        <v>3</v>
      </c>
      <c r="P35">
        <f t="shared" si="11"/>
        <v>4</v>
      </c>
      <c r="R35" s="27" t="s">
        <v>190</v>
      </c>
      <c r="S35">
        <f t="shared" si="12"/>
        <v>1</v>
      </c>
      <c r="T35">
        <f t="shared" si="13"/>
        <v>0</v>
      </c>
      <c r="U35">
        <f t="shared" si="14"/>
        <v>2</v>
      </c>
      <c r="V35">
        <f t="shared" si="15"/>
        <v>3</v>
      </c>
    </row>
    <row r="36">
      <c r="B36" s="32" t="s">
        <v>32</v>
      </c>
      <c r="F36" s="27" t="s">
        <v>184</v>
      </c>
      <c r="G36">
        <f t="shared" si="4"/>
        <v>0</v>
      </c>
      <c r="H36">
        <f t="shared" si="5"/>
        <v>1</v>
      </c>
      <c r="I36">
        <f t="shared" si="6"/>
        <v>3</v>
      </c>
      <c r="J36">
        <f t="shared" si="7"/>
        <v>4</v>
      </c>
      <c r="L36" s="27" t="s">
        <v>192</v>
      </c>
      <c r="M36">
        <f t="shared" si="8"/>
        <v>0</v>
      </c>
      <c r="N36">
        <f t="shared" si="9"/>
        <v>1</v>
      </c>
      <c r="O36">
        <f t="shared" si="10"/>
        <v>2</v>
      </c>
      <c r="P36">
        <f t="shared" si="11"/>
        <v>3</v>
      </c>
      <c r="R36" s="27" t="s">
        <v>193</v>
      </c>
      <c r="S36">
        <f t="shared" si="12"/>
        <v>0</v>
      </c>
      <c r="T36">
        <f t="shared" si="13"/>
        <v>1</v>
      </c>
      <c r="U36">
        <f t="shared" si="14"/>
        <v>3</v>
      </c>
      <c r="V36">
        <f t="shared" si="15"/>
        <v>4</v>
      </c>
    </row>
    <row r="37">
      <c r="B37" s="31" t="s">
        <v>37</v>
      </c>
      <c r="F37" s="27" t="s">
        <v>144</v>
      </c>
      <c r="G37">
        <f t="shared" si="4"/>
        <v>1</v>
      </c>
      <c r="H37">
        <f t="shared" si="5"/>
        <v>0</v>
      </c>
      <c r="I37">
        <f t="shared" si="6"/>
        <v>3</v>
      </c>
      <c r="J37">
        <f t="shared" si="7"/>
        <v>4</v>
      </c>
      <c r="L37" s="27" t="s">
        <v>153</v>
      </c>
      <c r="M37">
        <f t="shared" si="8"/>
        <v>0</v>
      </c>
      <c r="N37">
        <f t="shared" si="9"/>
        <v>1</v>
      </c>
      <c r="O37">
        <f t="shared" si="10"/>
        <v>2</v>
      </c>
      <c r="P37">
        <f t="shared" si="11"/>
        <v>3</v>
      </c>
      <c r="R37" s="27" t="s">
        <v>172</v>
      </c>
      <c r="S37">
        <f t="shared" si="12"/>
        <v>1</v>
      </c>
      <c r="T37">
        <f t="shared" si="13"/>
        <v>1</v>
      </c>
      <c r="U37">
        <f t="shared" si="14"/>
        <v>2</v>
      </c>
      <c r="V37">
        <f t="shared" si="15"/>
        <v>4</v>
      </c>
    </row>
    <row r="38">
      <c r="B38" s="31" t="s">
        <v>42</v>
      </c>
      <c r="F38" s="27" t="s">
        <v>155</v>
      </c>
      <c r="G38">
        <f t="shared" si="4"/>
        <v>1</v>
      </c>
      <c r="H38">
        <f t="shared" si="5"/>
        <v>0</v>
      </c>
      <c r="I38">
        <f t="shared" si="6"/>
        <v>2</v>
      </c>
      <c r="J38">
        <f t="shared" si="7"/>
        <v>3</v>
      </c>
      <c r="L38" s="27" t="s">
        <v>157</v>
      </c>
      <c r="M38">
        <f t="shared" si="8"/>
        <v>0</v>
      </c>
      <c r="N38">
        <f t="shared" si="9"/>
        <v>1</v>
      </c>
      <c r="O38">
        <f t="shared" si="10"/>
        <v>3</v>
      </c>
      <c r="P38">
        <f t="shared" si="11"/>
        <v>4</v>
      </c>
      <c r="R38" s="27" t="s">
        <v>159</v>
      </c>
      <c r="S38">
        <f t="shared" si="12"/>
        <v>1</v>
      </c>
      <c r="T38">
        <f t="shared" si="13"/>
        <v>1</v>
      </c>
      <c r="U38">
        <f t="shared" si="14"/>
        <v>3</v>
      </c>
      <c r="V38">
        <f t="shared" si="15"/>
        <v>5</v>
      </c>
    </row>
    <row r="39">
      <c r="B39" s="31" t="s">
        <v>7</v>
      </c>
      <c r="F39" s="27" t="s">
        <v>162</v>
      </c>
      <c r="G39">
        <f t="shared" si="4"/>
        <v>1</v>
      </c>
      <c r="H39">
        <f t="shared" si="5"/>
        <v>1</v>
      </c>
      <c r="I39">
        <f t="shared" si="6"/>
        <v>2</v>
      </c>
      <c r="J39">
        <f t="shared" si="7"/>
        <v>4</v>
      </c>
      <c r="L39" s="27" t="s">
        <v>164</v>
      </c>
      <c r="M39">
        <f t="shared" si="8"/>
        <v>0</v>
      </c>
      <c r="N39">
        <f t="shared" si="9"/>
        <v>1</v>
      </c>
      <c r="O39">
        <f t="shared" si="10"/>
        <v>3</v>
      </c>
      <c r="P39">
        <f t="shared" si="11"/>
        <v>4</v>
      </c>
      <c r="R39" s="27" t="s">
        <v>165</v>
      </c>
      <c r="S39">
        <f t="shared" si="12"/>
        <v>1</v>
      </c>
      <c r="T39">
        <f t="shared" si="13"/>
        <v>1</v>
      </c>
      <c r="U39">
        <f t="shared" si="14"/>
        <v>3</v>
      </c>
      <c r="V39">
        <f t="shared" si="15"/>
        <v>5</v>
      </c>
    </row>
    <row r="40">
      <c r="B40" s="31" t="s">
        <v>35</v>
      </c>
      <c r="F40" s="27" t="s">
        <v>175</v>
      </c>
      <c r="G40">
        <f t="shared" si="4"/>
        <v>1</v>
      </c>
      <c r="H40">
        <f t="shared" si="5"/>
        <v>1</v>
      </c>
      <c r="I40">
        <f t="shared" si="6"/>
        <v>2</v>
      </c>
      <c r="J40">
        <f t="shared" si="7"/>
        <v>4</v>
      </c>
      <c r="L40" s="27" t="s">
        <v>156</v>
      </c>
      <c r="M40">
        <f t="shared" si="8"/>
        <v>1</v>
      </c>
      <c r="N40">
        <f t="shared" si="9"/>
        <v>1</v>
      </c>
      <c r="O40">
        <f t="shared" si="10"/>
        <v>2</v>
      </c>
      <c r="P40">
        <f t="shared" si="11"/>
        <v>4</v>
      </c>
      <c r="R40" s="27" t="s">
        <v>178</v>
      </c>
      <c r="S40">
        <f t="shared" si="12"/>
        <v>1</v>
      </c>
      <c r="T40">
        <f t="shared" si="13"/>
        <v>1</v>
      </c>
      <c r="U40">
        <f t="shared" si="14"/>
        <v>2</v>
      </c>
      <c r="V40">
        <f t="shared" si="15"/>
        <v>4</v>
      </c>
    </row>
    <row r="41">
      <c r="B41" s="31" t="s">
        <v>33</v>
      </c>
      <c r="F41" s="27" t="s">
        <v>168</v>
      </c>
      <c r="G41">
        <f t="shared" si="4"/>
        <v>1</v>
      </c>
      <c r="H41">
        <f t="shared" si="5"/>
        <v>1</v>
      </c>
      <c r="I41">
        <f t="shared" si="6"/>
        <v>2</v>
      </c>
      <c r="J41">
        <f t="shared" si="7"/>
        <v>4</v>
      </c>
      <c r="L41" s="27" t="s">
        <v>163</v>
      </c>
      <c r="M41">
        <f t="shared" si="8"/>
        <v>1</v>
      </c>
      <c r="N41">
        <f t="shared" si="9"/>
        <v>1</v>
      </c>
      <c r="O41">
        <f t="shared" si="10"/>
        <v>2</v>
      </c>
      <c r="P41">
        <f t="shared" si="11"/>
        <v>4</v>
      </c>
      <c r="R41" s="27" t="s">
        <v>222</v>
      </c>
      <c r="S41">
        <f t="shared" si="12"/>
        <v>0</v>
      </c>
      <c r="T41">
        <f t="shared" si="13"/>
        <v>0</v>
      </c>
      <c r="U41">
        <f t="shared" si="14"/>
        <v>0</v>
      </c>
      <c r="V41">
        <f t="shared" si="15"/>
        <v>0</v>
      </c>
    </row>
    <row r="42">
      <c r="B42" s="31" t="s">
        <v>8</v>
      </c>
      <c r="L42" s="27" t="s">
        <v>176</v>
      </c>
      <c r="M42">
        <f t="shared" si="8"/>
        <v>1</v>
      </c>
      <c r="N42">
        <f t="shared" si="9"/>
        <v>0</v>
      </c>
      <c r="O42">
        <f t="shared" si="10"/>
        <v>2</v>
      </c>
      <c r="P42">
        <f t="shared" si="11"/>
        <v>3</v>
      </c>
    </row>
    <row r="43">
      <c r="B43" s="31" t="s">
        <v>15</v>
      </c>
    </row>
    <row r="44">
      <c r="B44" s="31" t="s">
        <v>19</v>
      </c>
    </row>
    <row r="45">
      <c r="B45" s="31" t="s">
        <v>17</v>
      </c>
    </row>
    <row r="46">
      <c r="B46" s="31" t="s">
        <v>23</v>
      </c>
    </row>
    <row r="47">
      <c r="B47" s="31" t="s">
        <v>52</v>
      </c>
    </row>
    <row r="48">
      <c r="B48" s="31" t="s">
        <v>3</v>
      </c>
    </row>
    <row r="49">
      <c r="B49" s="32" t="s">
        <v>61</v>
      </c>
    </row>
    <row r="50">
      <c r="B50" s="32" t="s">
        <v>36</v>
      </c>
    </row>
    <row r="51">
      <c r="B51" s="32" t="s">
        <v>46</v>
      </c>
    </row>
    <row r="52">
      <c r="B52" s="32" t="s">
        <v>40</v>
      </c>
    </row>
    <row r="53">
      <c r="B53" s="31" t="s">
        <v>50</v>
      </c>
    </row>
  </sheetData>
  <conditionalFormatting sqref="B13 B30">
    <cfRule type="expression" dxfId="0" priority="1">
      <formula>$A$2=B$1</formula>
    </cfRule>
  </conditionalFormatting>
  <conditionalFormatting sqref="D2:D14 B42:B53">
    <cfRule type="expression" dxfId="0" priority="2">
      <formula>$A$2=B$1</formula>
    </cfRule>
  </conditionalFormatting>
  <conditionalFormatting sqref="C2:C14 B31:B41">
    <cfRule type="expression" dxfId="0" priority="3">
      <formula>$A$2=B$1</formula>
    </cfRule>
  </conditionalFormatting>
  <conditionalFormatting sqref="B2:B12 B14 B19:B29">
    <cfRule type="expression" dxfId="0" priority="4">
      <formula>$A$2=B$1</formula>
    </cfRule>
  </conditionalFormatting>
  <conditionalFormatting sqref="G3:J16">
    <cfRule type="cellIs" dxfId="2" priority="5" operator="equal">
      <formula>$F$18</formula>
    </cfRule>
  </conditionalFormatting>
  <conditionalFormatting sqref="L18">
    <cfRule type="notContainsBlanks" dxfId="2" priority="6">
      <formula>LEN(TRIM(L18))&gt;0</formula>
    </cfRule>
  </conditionalFormatting>
  <conditionalFormatting sqref="M3:P16">
    <cfRule type="cellIs" dxfId="2" priority="7" operator="equal">
      <formula>$L$18</formula>
    </cfRule>
  </conditionalFormatting>
  <conditionalFormatting sqref="S3:V16">
    <cfRule type="cellIs" dxfId="2" priority="8" operator="equal">
      <formula>$R$18</formula>
    </cfRule>
  </conditionalFormatting>
  <conditionalFormatting sqref="J19:J41 P19:P42 V19:V41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